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amento" sheetId="1" state="visible" r:id="rId1"/>
    <sheet name="Matriz" sheetId="2" state="visible" r:id="rId2"/>
    <sheet name="Parâmetros" sheetId="3" state="visible" r:id="rId3"/>
    <sheet name="Pendências Etapa 2" sheetId="4" state="visible" r:id="rId4"/>
    <sheet name="Legenda" sheetId="5" state="visible" r:id="rId5"/>
  </sheets>
  <definedNames>
    <definedName name="_xlnm._FilterDatabase" localSheetId="0" hidden="1">'Fichamento'!$A$1:$Q$1</definedName>
    <definedName name="_xlnm._FilterDatabase" localSheetId="1" hidden="1">'Matriz'!$A$1:$K$1</definedName>
    <definedName name="_xlnm._FilterDatabase" localSheetId="2" hidden="1">'Parâmetros'!$A$1:$D$1</definedName>
    <definedName name="_xlnm._FilterDatabase" localSheetId="3" hidden="1">'Pendências Etapa 2'!$A$1:$F$1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i val="1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3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12" customWidth="1" min="4" max="4"/>
    <col width="10" customWidth="1" min="5" max="5"/>
    <col width="7" customWidth="1" min="6" max="6"/>
    <col width="18" customWidth="1" min="7" max="7"/>
    <col width="40" customWidth="1" min="8" max="8"/>
    <col width="40" customWidth="1" min="9" max="9"/>
    <col width="40" customWidth="1" min="10" max="10"/>
    <col width="55" customWidth="1" min="11" max="11"/>
    <col width="50" customWidth="1" min="12" max="12"/>
    <col width="40" customWidth="1" min="13" max="13"/>
    <col width="45" customWidth="1" min="14" max="14"/>
    <col width="45" customWidth="1" min="15" max="15"/>
    <col width="35" customWidth="1" min="16" max="16"/>
    <col width="16" customWidth="1" min="17" max="17"/>
  </cols>
  <sheetData>
    <row r="1">
      <c r="A1" s="1" t="inlineStr">
        <is>
          <t>#</t>
        </is>
      </c>
      <c r="B1" s="1" t="inlineStr">
        <is>
          <t>Referência (citação)</t>
        </is>
      </c>
      <c r="C1" s="1" t="inlineStr">
        <is>
          <t>Arquivo</t>
        </is>
      </c>
      <c r="D1" s="1" t="inlineStr">
        <is>
          <t>Tipo</t>
        </is>
      </c>
      <c r="E1" s="1" t="inlineStr">
        <is>
          <t>Revisado por pares?</t>
        </is>
      </c>
      <c r="F1" s="1" t="inlineStr">
        <is>
          <t>Eixo</t>
        </is>
      </c>
      <c r="G1" s="1" t="inlineStr">
        <is>
          <t>Papel no artigo</t>
        </is>
      </c>
      <c r="H1" s="1" t="inlineStr">
        <is>
          <t>Objetivo (resumo)</t>
        </is>
      </c>
      <c r="I1" s="1" t="inlineStr">
        <is>
          <t>Dados e período</t>
        </is>
      </c>
      <c r="J1" s="1" t="inlineStr">
        <is>
          <t>Método</t>
        </is>
      </c>
      <c r="K1" s="1" t="inlineStr">
        <is>
          <t>Principais resultados (com página)</t>
        </is>
      </c>
      <c r="L1" s="1" t="inlineStr">
        <is>
          <t>Veredito sobre o uso no artigo</t>
        </is>
      </c>
      <c r="M1" s="1" t="inlineStr">
        <is>
          <t>Parâmetro que fornece</t>
        </is>
      </c>
      <c r="N1" s="1" t="inlineStr">
        <is>
          <t>Ressalvas para o uso</t>
        </is>
      </c>
      <c r="O1" s="1" t="inlineStr">
        <is>
          <t>Citação direta útil</t>
        </is>
      </c>
      <c r="P1" s="1" t="inlineStr">
        <is>
          <t>Versão lida / paginação</t>
        </is>
      </c>
      <c r="Q1" s="1" t="inlineStr">
        <is>
          <t>Revisado por (assinatura)</t>
        </is>
      </c>
    </row>
    <row r="2" ht="210" customHeight="1">
      <c r="A2" s="2" t="n">
        <v>1</v>
      </c>
      <c r="B2" s="3" t="inlineStr">
        <is>
          <t>BAUR; LUCEY (2009)</t>
        </is>
      </c>
      <c r="C2" s="4" t="inlineStr">
        <is>
          <t>baur-2009.md</t>
        </is>
      </c>
      <c r="D2" s="2" t="inlineStr">
        <is>
          <t>Periódico</t>
        </is>
      </c>
      <c r="E2" s="2" t="inlineStr">
        <is>
          <t>Sim</t>
        </is>
      </c>
      <c r="F2" s="2" t="inlineStr">
        <is>
          <t>1</t>
        </is>
      </c>
      <c r="G2" s="4" t="inlineStr">
        <is>
          <t>P1</t>
        </is>
      </c>
      <c r="H2" s="4" t="inlineStr">
        <is>
          <t>Definir e testar flight-to-quality, flight-from-quality e contágio entre ações e títulos soberanos em crises (p. 339-340).</t>
        </is>
      </c>
      <c r="I2" s="4" t="inlineStr">
        <is>
          <t>8 países desenvolvidos (EUA incl.), MSCI ações e títulos 10+ anos, diário, moeda local, jan/1994-set/2006 (T = 3.291); 6 crises definidas por evento (p. 344-346). Sem emergentes.</t>
        </is>
      </c>
      <c r="J2" s="4" t="inlineStr">
        <is>
          <t>DCC-GARCH(1,1) + regressão do retorno do título sobre ações com dummies de crise (janela de 20 pregões; referência de 70 dias); painel GARCH; robustez com janelas de 5 a 50 pregões e Monte Carlo (p. 342-351).</t>
        </is>
      </c>
      <c r="K2" s="4" t="inlineStr">
        <is>
          <t>EUA: flight-to-quality em só 2 de 6 crises (Hong Kong 1997: -0,3856; Rússia 1998: -0,4641); contágio no 11/set (+0,2732) (Tab. 4a, p. 348; Tab. 5, p. 350). Correlação incondicional EUA -0,0149 (Tab. 2, p. 344). Fugas 'die out rather fast': janelas &gt; 20 pregões tiram a significância (p. 351).</t>
        </is>
      </c>
      <c r="L2" s="4" t="inlineStr">
        <is>
          <t>P1: SUSTENTA EM PARTE (flight-to-quality nos EUA em 2 de 6 crises). 'Treasury como principal destino': NÃO SUSTENTA diretamente.</t>
        </is>
      </c>
      <c r="M2" s="4" t="inlineStr">
        <is>
          <t>Definição de flight-to-quality: queda significativa da correlação E nível negativo (senão é só 'decoupling') (p. 341). Janela de crise de 20 pregões; datas de crises 1997-2002 (p. 346).</t>
        </is>
      </c>
      <c r="N2" s="4" t="inlineStr">
        <is>
          <t>Crises por evento (não VIX/drawdown); DCC e dummies, não correlação móvel de 63 dias; amostra 1994-2006; janela longa pode diluir fugas curtas. Inconsistência interna texto x Tab. 5 sobre o 11/set.</t>
        </is>
      </c>
      <c r="O2" s="4" t="inlineStr">
        <is>
          <t>"If the co-movement of stocks and bonds turns negative in crisis periods, investors that hold both stocks and bonds will suffer less..." (p. 340)</t>
        </is>
      </c>
      <c r="P2" s="4" t="inlineStr">
        <is>
          <t>Versão publicada (PDF no site de Lucey), p. 339-352.</t>
        </is>
      </c>
      <c r="Q2" s="5" t="n"/>
    </row>
    <row r="3" ht="210" customHeight="1">
      <c r="A3" s="2" t="n">
        <v>2</v>
      </c>
      <c r="B3" s="3" t="inlineStr">
        <is>
          <t>BAELE et al. (2020)</t>
        </is>
      </c>
      <c r="C3" s="4" t="inlineStr">
        <is>
          <t>baele-2020.md</t>
        </is>
      </c>
      <c r="D3" s="2" t="inlineStr">
        <is>
          <t>Periódico</t>
        </is>
      </c>
      <c r="E3" s="2" t="inlineStr">
        <is>
          <t>Sim</t>
        </is>
      </c>
      <c r="F3" s="2" t="inlineStr">
        <is>
          <t>1</t>
        </is>
      </c>
      <c r="G3" s="4" t="inlineStr">
        <is>
          <t>P1; contexto P3</t>
        </is>
      </c>
      <c r="H3" s="4" t="inlineStr">
        <is>
          <t>Definir e identificar dias de flight to safety (FTS) em 23 países só com retornos de ações e do título de referência; consequências para fluxos, emergentes e hedge (p. 690-691).</t>
        </is>
      </c>
      <c r="I3" s="4" t="inlineStr">
        <is>
          <t>23 países desenvolvidos, ações (Datastream) e título de 10 anos, diário, moeda local, jan/1980-jun/2015 (p. 696). Seção de emergentes: 25 bolsas (Brasil incl.) e EMBI em dólar (p. 728-729).</t>
        </is>
      </c>
      <c r="J3" s="4" t="inlineStr">
        <is>
          <t>Três modelos (regime-switching bivariado; limiar tipo exceedance; índice ordinal) combinados por Bernoulli multivariada; FTS se prob. conjunta &gt; 50% (p. 695-709). Kernels de 360 e 7 dias.</t>
        </is>
      </c>
      <c r="K3" s="4" t="inlineStr">
        <is>
          <t>FTS em 1,74% dos dias (EUA 2,27%); ações -2,29% e títulos +0,43% em dias de FTS (Tab. 6, p. 711). Correlação -58,5% em FTS vs -4,18% fora (p. 702-703). 62% dos episódios duram 1 dia (p. 713). Só 21,6% dos FTS coincidem com alta volatilidade (p. 710). Soberanos emergentes em dólar com betas de FTS negativos, signif. em no máx. 7 de 24 países: ativos de risco (p. 731).</t>
        </is>
      </c>
      <c r="L3" s="4" t="inlineStr">
        <is>
          <t>P1: SUSTENTA para dias de FTS em desenvolvidos. 'Treasury como principal destino': SUSTENTA EM PARTE (autores chamam de 'problematic', p. 726). P3: apoio conceitual (EMBI em dólar, FTS global).</t>
        </is>
      </c>
      <c r="M3" s="4" t="inlineStr">
        <is>
          <t>Definição de FTS em 3 critérios (p. 690); FTS global = FTS dos EUA como proxy (p. 727); razão de volatilidade curto/longo de 1,72 como limiar de estresse (p. 707).</t>
        </is>
      </c>
      <c r="N3" s="4" t="inlineStr">
        <is>
          <t>Correlação negativa é parte da definição de FTS (resultado em parte construído); episódios de poucos dias x janela de 63 dias; crise por VIX &gt; 30 não equivale a FTS. Evidência de emergentes é EMBI em dólar, não NTN-B.</t>
        </is>
      </c>
      <c r="O3" s="4" t="inlineStr">
        <is>
          <t>"These sovereign bonds cannot function as a 'safe asset' for these emerging markets due to default and exchange rate risks" (p. 726)</t>
        </is>
      </c>
      <c r="P3" s="4" t="inlineStr">
        <is>
          <t>WP NBER 19095 (mai/2019) conferido na versão RFS; paginação da RFS.</t>
        </is>
      </c>
      <c r="Q3" s="5" t="n"/>
    </row>
    <row r="4" ht="210" customHeight="1">
      <c r="A4" s="2" t="n">
        <v>3</v>
      </c>
      <c r="B4" s="3" t="inlineStr">
        <is>
          <t>CONNOLLY; STIVERS; SUN (2005)</t>
        </is>
      </c>
      <c r="C4" s="4" t="inlineStr">
        <is>
          <t>connolly-2005.md</t>
        </is>
      </c>
      <c r="D4" s="2" t="inlineStr">
        <is>
          <t>Periódico</t>
        </is>
      </c>
      <c r="E4" s="2" t="inlineStr">
        <is>
          <t>Sim</t>
        </is>
      </c>
      <c r="F4" s="2" t="inlineStr">
        <is>
          <t>1</t>
        </is>
      </c>
      <c r="G4" s="4" t="inlineStr">
        <is>
          <t>P2</t>
        </is>
      </c>
      <c r="H4" s="4" t="inlineStr">
        <is>
          <t>Verificar se incerteza do mercado acionário (VIX, turnover) prevê a correlação futura ações x Treasury e se associa à relação contemporânea (p. 2-3).</t>
        </is>
      </c>
      <c r="I4" s="4" t="inlineStr">
        <is>
          <t>EUA, diário, 1986-2000 (3.755 obs.); CRSP e Treasury de 10 anos (retornos a partir de yields); VIX antigo (S&amp;P 100, hoje VXO) (p. 10-11). Apêndices: Alemanha e G-7.</t>
        </is>
      </c>
      <c r="J4" s="4" t="inlineStr">
        <is>
          <t>Correlação futura de 22 pregões condicionada ao VIX em t-1; regressão B = a0 + (a1 + a2 ln VIX + a3 CV)·S com Newey-West (5 lags); modelo de regimes com transição dependente do VIX (p. 16-28).</t>
        </is>
      </c>
      <c r="K4" s="4" t="inlineStr">
        <is>
          <t>Correlação média 0,340 (todos os dias) vs 0,079 com VIX &gt; 30 e 0,062 com VIX &gt; 40 (Tab. 2, p. 40). a2 = -0,208 (t = -4,33) em 1986-2000; -0,513 em 1993-2000 (Tab. 3, p. 41). Regime de alta incerteza: correlação ≈ -0,20 vs 0,52 no normal (p. 26). Padrão se repete na Alemanha e quase todo o G-7 (p. 32-34).</t>
        </is>
      </c>
      <c r="L4" s="4" t="inlineStr">
        <is>
          <t>P2 (EUA): SUSTENTA (CONFIRMADO). Parte 'não se espera no Brasil' é hipótese própria do artigo, não testada aqui.</t>
        </is>
      </c>
      <c r="M4" s="4" t="inlineStr">
        <is>
          <t>Limiares VIX 20/25/30/35/40 (Tab. 2, p. 40); horizonte de 22 pregões; especificação a2 &lt; 0 para testar P2 (Eq. 5, p. 18); datas das crises asiática e russa (p. 19).</t>
        </is>
      </c>
      <c r="N4" s="4" t="inlineStr">
        <is>
          <t>'Decrescente' ≠ 'negativa': média segue positiva com VIX &gt; 30. VIX antigo (S&amp;P 100). Amostra de inflação baixa e estável (limita 2022). Páginas do manuscrito de 2003, não do JFQA.</t>
        </is>
      </c>
      <c r="O4" s="4" t="inlineStr">
        <is>
          <t>"we find a negative relation between the uncertainty measures and the future correlation of stock and bond returns." (resumo, p. 161)</t>
        </is>
      </c>
      <c r="P4" s="4" t="inlineStr">
        <is>
          <t>Preprint aceito (UNC, 20/06/2003); paginação do manuscrito. Versão JFQA não acessada.</t>
        </is>
      </c>
      <c r="Q4" s="5" t="n"/>
    </row>
    <row r="5" ht="210" customHeight="1">
      <c r="A5" s="2" t="n">
        <v>4</v>
      </c>
      <c r="B5" s="3" t="inlineStr">
        <is>
          <t>CAMPBELL; SUNDERAM; VICEIRA (2017)</t>
        </is>
      </c>
      <c r="C5" s="4" t="inlineStr">
        <is>
          <t>campbell-2017.md</t>
        </is>
      </c>
      <c r="D5" s="2" t="inlineStr">
        <is>
          <t>Periódico</t>
        </is>
      </c>
      <c r="E5" s="2" t="inlineStr">
        <is>
          <t>Sim</t>
        </is>
      </c>
      <c r="F5" s="2" t="inlineStr">
        <is>
          <t>2</t>
        </is>
      </c>
      <c r="G5" s="4" t="inlineStr">
        <is>
          <t>Contexto P1/P2; exploratória 2022</t>
        </is>
      </c>
      <c r="H5" s="4" t="inlineStr">
        <is>
          <t>Documentar que a covariância Treasury x ações nos EUA muda de magnitude e sinal e modelar a estrutura a termo com essa troca de sinal (p. 264).</t>
        </is>
      </c>
      <c r="I5" s="4" t="inlineStr">
        <is>
          <t>EUA, trimestral 1953T1-2014T4, com segundos momentos realizados a partir de dados diários; títulos zero cupom (até 10 anos), TIPS desde 1999, CRSP (p. 275-277).</t>
        </is>
      </c>
      <c r="J5" s="4" t="inlineStr">
        <is>
          <t>Covariância e beta realizados em janela de 3 meses de dados diários; VAR (janela de 20 trimestres); modelo de estrutura a termo linear-quadrático com filtro de Kalman unscented (p. 265-275).</t>
        </is>
      </c>
      <c r="K5" s="4" t="inlineStr">
        <is>
          <t>Beta do Treasury ≈ 0,4 nos anos 1980 e ≈ -0,2 nos anos 2000, com troca de sinal (p. 265-266). Covariância com choques de deflação acompanha a covariância ações x títulos (p. 267). Títulos viram hedges melhores em tempos ruins (corr. 0,69 entre choques, p. 282). Prêmio a termo de 1,17% (1980) a -0,79% (2008) (p. 288).</t>
        </is>
      </c>
      <c r="L5" s="4" t="inlineStr">
        <is>
          <t>Frase da introdução sobre 'natureza do choque': SUSTENTA EM PARTE (explica pelo regime macro/inflação, não pelo tipo de choque nem por aversão a risco). Sugere redação mais fiel na ficha.</t>
        </is>
      </c>
      <c r="M5" s="4" t="inlineStr">
        <is>
          <t>Janela de 3 meses (22 pregões/mês, 264/ano) respalda 63 dias (nota 10, p. 277); fórmula de retorno a partir de yield; beta = cov/var das ações (p. 265).</t>
        </is>
      </c>
      <c r="N5" s="4" t="inlineStr">
        <is>
          <t>Trabalha com covariância e beta, não correlação; preço do risco constante; ligação com choques de oferta é conjectura da conclusão (p. 297).</t>
        </is>
      </c>
      <c r="O5" s="4" t="inlineStr">
        <is>
          <t>"since the turn of the century and particularly during these downturns, Treasury bond returns have been negatively correlated with stock returns at a daily frequency." (p. 264)</t>
        </is>
      </c>
      <c r="P5" s="4" t="inlineStr">
        <is>
          <t>Versão publicada (CFR), p. 263-301.</t>
        </is>
      </c>
      <c r="Q5" s="5" t="n"/>
    </row>
    <row r="6" ht="210" customHeight="1">
      <c r="A6" s="2" t="n">
        <v>5</v>
      </c>
      <c r="B6" s="3" t="inlineStr">
        <is>
          <t>FORBES; RIGOBON (2002)</t>
        </is>
      </c>
      <c r="C6" s="4" t="inlineStr">
        <is>
          <t>forbes-2002.md</t>
        </is>
      </c>
      <c r="D6" s="2" t="inlineStr">
        <is>
          <t>Periódico</t>
        </is>
      </c>
      <c r="E6" s="2" t="inlineStr">
        <is>
          <t>Sim</t>
        </is>
      </c>
      <c r="F6" s="2" t="inlineStr">
        <is>
          <t>2</t>
        </is>
      </c>
      <c r="G6" s="4" t="inlineStr">
        <is>
          <t>Método (viés de volatilidade)</t>
        </is>
      </c>
      <c r="H6" s="4" t="inlineStr">
        <is>
          <t>Mostrar que testes de contágio baseados em aumento de correlação são viesados pela heterocedasticidade e propor ajuste (p. 2223-2226).</t>
        </is>
      </c>
      <c r="I6" s="4" t="inlineStr">
        <is>
          <t>Índices diários de ações (Datastream, US$), 28 mercados (Brasil incl.) nas crises de 1997 e 1994; 10 mercados em 1987 (p. 2236-2249). Só ações.</t>
        </is>
      </c>
      <c r="J6" s="4" t="inlineStr">
        <is>
          <t>Correlações condicionais e ajustadas a partir de VAR bivariado com retornos de 2 dias e 5 lags; teste t unilateral, crítico 1,65 (p. 2236-2239).</t>
        </is>
      </c>
      <c r="K6" s="4" t="inlineStr">
        <is>
          <t>Exemplo: correlação sobe de 10% para 71% só pela variância (Tab. I, p. 2230). Ásia 1997: contágio em 15 países sem ajuste, só Itália com ajuste (p. 2239-2242). México 1994, Brasil: 0,791 → 0,390 ajustada (Tab. VI-VII, p. 2246-2247). 'No contagion, only interdependence' (p. 2250).</t>
        </is>
      </c>
      <c r="L6" s="4" t="inlineStr">
        <is>
          <t>Pendência do plano (ajustar ou discutir como limitação): SUSTENTA o viés e fornece a fórmula. Usar como robustez + limitação.</t>
        </is>
      </c>
      <c r="M6" s="4" t="inlineStr">
        <is>
          <t>ρ = ρ* / √(1 + δ[1 - ρ*²]), δ = σ²alta/σ²baixa - 1 (Eq. 10-11, p. 2233); x = retorno das ações como fonte da variância.</t>
        </is>
      </c>
      <c r="N6" s="4" t="inlineStr">
        <is>
          <t>Hipóteses (sem choques globais omitidos e sem retroalimentação, p. 2234) pouco plausíveis em crises de VIX; o ajuste altera a magnitude, não o sinal (inferência do grupo pela Eq. 9).</t>
        </is>
      </c>
      <c r="O6" s="4" t="inlineStr">
        <is>
          <t>"This paper shows that correlation coefficients are conditional on market volatility." (p. 2223)</t>
        </is>
      </c>
      <c r="P6" s="4" t="inlineStr">
        <is>
          <t>Versão publicada (JSTOR), p. 2223-2261; NBER WP 7267 para conferir fórmulas.</t>
        </is>
      </c>
      <c r="Q6" s="5" t="n"/>
    </row>
    <row r="7" ht="210" customHeight="1">
      <c r="A7" s="2" t="n">
        <v>6</v>
      </c>
      <c r="B7" s="3" t="inlineStr">
        <is>
          <t>MOLENAAR et al. (2024)</t>
        </is>
      </c>
      <c r="C7" s="4" t="inlineStr">
        <is>
          <t>molenaar-2024.md</t>
        </is>
      </c>
      <c r="D7" s="2" t="inlineStr">
        <is>
          <t>Periódico</t>
        </is>
      </c>
      <c r="E7" s="2" t="inlineStr">
        <is>
          <t>Sim</t>
        </is>
      </c>
      <c r="F7" s="2" t="inlineStr">
        <is>
          <t>2</t>
        </is>
      </c>
      <c r="G7" s="4" t="inlineStr">
        <is>
          <t>P3 e contraste EUA x Brasil; contexto P1</t>
        </is>
      </c>
      <c r="H7" s="4" t="inlineStr">
        <is>
          <t>Explicar com variáveis econômicas quando a correlação ações x títulos fica acima ou abaixo de zero e o efeito em carteiras (p. 18).</t>
        </is>
      </c>
      <c r="I7" s="4" t="inlineStr">
        <is>
          <t>Mensal; EUA desde 1875, RU desde 1801, França desde 1871; G7 desde 1988; 5 emergentes, Brasil desde jan/2002 (títulos JGEMBBR, moeda local) (Tab. 3, p. 25; Tab. A3, p. 32).</t>
        </is>
      </c>
      <c r="J7" s="4" t="inlineStr">
        <is>
          <t>Correlação de Spearman em janelas de 36 meses regredida em inflação e juro real (modelos empírico e teórico), Newey-West 35 lags (p. 20-27).</t>
        </is>
      </c>
      <c r="K7" s="4" t="inlineStr">
        <is>
          <t>EUA: correlação 0,35 (1970-99) vs -0,29 (2000-23); 60/40 com vol. de 10,5% → 8,4% (p. 17; Tab. 5, p. 28). EUA 1961-2023: R² aj. 0,52 a 0,79 (Tab. 2, p. 23). Brasil: R² aj. 0,01, menor da tabela (Tab. 3, p. 25). Países com títulos mais arriscados têm correlação mais positiva (p. 30).</t>
        </is>
      </c>
      <c r="L7" s="4" t="inlineStr">
        <is>
          <t>Brasil com baixo poder explicativo dos fatores macro: SUSTENTA. Fonte para quedas simultâneas em 2022: NÃO SUSTENTA (buscar outra). Natureza do choque: SUSTENTA EM PARTE (revisão teórica, p. 20).</t>
        </is>
      </c>
      <c r="M7" s="4" t="inlineStr">
        <is>
          <t>Janelas de 21 ou 63 obs. com dados diários (p. 33) → respalda 63 dias; Spearman como robustez; Fisher dispensável para |ρ| ≤ 0,75 (nota 25, p. 35).</t>
        </is>
      </c>
      <c r="N7" s="4" t="inlineStr">
        <is>
          <t>Mensal/36 meses (não diário/63 dias); Spearman; título brasileiro é JGEMBBR, não NTN-B; não separa crises nem usa VIX.</t>
        </is>
      </c>
      <c r="O7" s="4" t="inlineStr">
        <is>
          <t>"For countries where government bonds are considered riskier, stock–bond correlations tend to be more positive..." (p. 30)</t>
        </is>
      </c>
      <c r="P7" s="4" t="inlineStr">
        <is>
          <t>Versão publicada (FAJ, acesso aberto), p. 17-36.</t>
        </is>
      </c>
      <c r="Q7" s="5" t="n"/>
    </row>
    <row r="8" ht="210" customHeight="1">
      <c r="A8" s="2" t="n">
        <v>7</v>
      </c>
      <c r="B8" s="3" t="inlineStr">
        <is>
          <t>DUFOUR; STANCU; VAROTTO (2017)</t>
        </is>
      </c>
      <c r="C8" s="4" t="inlineStr">
        <is>
          <t>dufour-2017.md</t>
        </is>
      </c>
      <c r="D8" s="2" t="inlineStr">
        <is>
          <t>Periódico</t>
        </is>
      </c>
      <c r="E8" s="2" t="inlineStr">
        <is>
          <t>Sim</t>
        </is>
      </c>
      <c r="F8" s="2" t="inlineStr">
        <is>
          <t>3</t>
        </is>
      </c>
      <c r="G8" s="4" t="inlineStr">
        <is>
          <t>P3 (analogia); base parcial P4</t>
        </is>
      </c>
      <c r="H8" s="4" t="inlineStr">
        <is>
          <t>Mostrar que o sinal da co-movimentação ações x títulos soberanos da zona do euro depende do nível de risco de crédito soberano (p. 2-5).</t>
        </is>
      </c>
      <c r="I8" s="4" t="inlineStr">
        <is>
          <t>11 países da zona do euro (baixo, médio e alto risco); 562 títulos MTS, diário, out/2004-dez/2013; CDS 5 anos; subperíodos pré-crise, subprime, soberana I e II (p. 8-10).</t>
        </is>
      </c>
      <c r="J8" s="4" t="inlineStr">
        <is>
          <t>Painel com efeitos fixos (excesso de retorno do título sobre ações, ΔCDS, Δbid-ask), fator de crédito ortogonalizado; beta variável com dummy de CDS &gt; limiar; correlação móvel de 1 ano (p. 6-13).</t>
        </is>
      </c>
      <c r="K8" s="4" t="inlineStr">
        <is>
          <t>Beta de ações dos países de alto risco: -0,039 (subprime) → +0,096 e +0,171 (soberana I e II); baixo risco sempre negativo (Tab. III, p. 31). Troca de sinal quando CDS 5 anos &gt; 2% (p. 13). Correlação títulos x ações alto risco: -28,4% → +45,0% (Tab. V, p. 34).</t>
        </is>
      </c>
      <c r="L8" s="4" t="inlineStr">
        <is>
          <t>'Títulos de alto risco perderam status de ativo seguro': SUSTENTA (p. 22). Título doméstico carrega risco-país: SUSTENTA EM PARTE. Base da P4 (local x global): NÃO SUSTENTA diretamente; só evidência indireta (subprime x crise soberana).</t>
        </is>
      </c>
      <c r="M8" s="4" t="inlineStr">
        <is>
          <t>Limiar CDS 5 anos &gt; 2% (testado de 1% a 3%) (p. 13, nota 13); dummy de FTS: título &gt; +2 dp e ações &lt; -2 dp (p. 18); janela de 1 ano; winsorização 1%-99%.</t>
        </is>
      </c>
      <c r="N8" s="4" t="inlineStr">
        <is>
          <t>Zona do euro (moeda comum, sem risco cambial); Brasil fora da amostra; mede betas de painel, não correlação de 63 dias. Sugere reformular P4 em termos de risco soberano elevado.</t>
        </is>
      </c>
      <c r="O8" s="4" t="inlineStr">
        <is>
          <t>"government bonds of high risk countries lost their 'safe-asset' status during the recent sovereign debt crisis" (p. 22)</t>
        </is>
      </c>
      <c r="P8" s="4" t="inlineStr">
        <is>
          <t>Manuscrito aceito (CentAUR), p. 1-48; paginação do periódico (p. 25-46) não acessada.</t>
        </is>
      </c>
      <c r="Q8" s="5" t="n"/>
    </row>
    <row r="9" ht="210" customHeight="1">
      <c r="A9" s="2" t="n">
        <v>8</v>
      </c>
      <c r="B9" s="3" t="inlineStr">
        <is>
          <t>HOFMANN; SHIM; SHIN (2020)</t>
        </is>
      </c>
      <c r="C9" s="4" t="inlineStr">
        <is>
          <t>hofmann-2020.md</t>
        </is>
      </c>
      <c r="D9" s="2" t="inlineStr">
        <is>
          <t>Periódico</t>
        </is>
      </c>
      <c r="E9" s="2" t="inlineStr">
        <is>
          <t>Sim</t>
        </is>
      </c>
      <c r="F9" s="2" t="inlineStr">
        <is>
          <t>3</t>
        </is>
      </c>
      <c r="G9" s="4" t="inlineStr">
        <is>
          <t>P3 (controle pelo câmbio)</t>
        </is>
      </c>
      <c r="H9" s="4" t="inlineStr">
        <is>
          <t>Examinar como o prêmio de risco de crédito de títulos soberanos em moeda local de emergentes varia com o câmbio (p. 1, 4-5).</t>
        </is>
      </c>
      <c r="I9" s="4" t="inlineStr">
        <is>
          <t>14 emergentes (Brasil incl.), diário, jan/2005-dez/2017 (~3.300 dias), títulos de 5 anos em moeda local, EMBI, swap cambial, VIX (p. 10-12; Apêndice, p. 27).</t>
        </is>
      </c>
      <c r="J9" s="4" t="inlineStr">
        <is>
          <t>Modelo teórico de carteira; choques cambiais identificados em dias de notícias do BCE; projeções locais em painel (1 a 50 dias) com controle de VIX e juros (p. 7-14).</t>
        </is>
      </c>
      <c r="K9" s="4" t="inlineStr">
        <is>
          <t>Apreciação de 1% contra o dólar reduz spread local e prêmio de crédito em ~10 p.b. e o spread em moeda estrangeira em ~15 p.b. (p. 14; Fig. 3, p. 15). Câmbio relevante é o bilateral contra o dólar, não o efetivo (p. 16-18). Depreciação e risco de crédito andam juntos (p. 23).</t>
        </is>
      </c>
      <c r="L9" s="4" t="inlineStr">
        <is>
          <t>Mecanismo depreciação → saída de estrangeiros → alta de spreads: SUSTENTA. Controle por USD/BRL na P3: SUSTENTA. Título doméstico como não-refúgio: SUSTENTA EM PARTE.</t>
        </is>
      </c>
      <c r="M9" s="4" t="inlineStr">
        <is>
          <t>Usar câmbio bilateral USD/BRL (não efetivo) (p. 5, 22); prêmio de Du e Schreger; variação % do VIX como controle (p. 13-14).</t>
        </is>
      </c>
      <c r="N9" s="4" t="inlineStr">
        <is>
          <t>Não trata de ações nem de crises; títulos nominais de 5 anos, não indexados (NTN-B); painel sem estimativa só do Brasil. Atenção à convenção do câmbio (alta = apreciação no artigo). Controlar pelo câmbio pode absorver parte do efeito de risco-país.</t>
        </is>
      </c>
      <c r="O9" s="4" t="inlineStr">
        <is>
          <t>"our findings show that currency depreciation and rising credit risk go hand in hand." (p. 23)</t>
        </is>
      </c>
      <c r="P9" s="4" t="inlineStr">
        <is>
          <t>BIS WP 775 (rev. ago/2020), p. 1-27; versão JMCB não acessada.</t>
        </is>
      </c>
      <c r="Q9" s="5" t="n"/>
    </row>
    <row r="10" ht="210" customHeight="1">
      <c r="A10" s="2" t="n">
        <v>9</v>
      </c>
      <c r="B10" s="3" t="inlineStr">
        <is>
          <t>BIANCONI; YOSHINO; MACHADO DE SOUSA (2013)</t>
        </is>
      </c>
      <c r="C10" s="4" t="inlineStr">
        <is>
          <t>bianconi-2013.md</t>
        </is>
      </c>
      <c r="D10" s="2" t="inlineStr">
        <is>
          <t>Periódico</t>
        </is>
      </c>
      <c r="E10" s="2" t="inlineStr">
        <is>
          <t>Sim</t>
        </is>
      </c>
      <c r="F10" s="2" t="inlineStr">
        <is>
          <t>4</t>
        </is>
      </c>
      <c r="G10" s="4" t="inlineStr">
        <is>
          <t>Contexto/lacuna</t>
        </is>
      </c>
      <c r="H10" s="4" t="inlineStr">
        <is>
          <t>Medir a transmissão do estresse dos EUA em 2008 para ações e títulos dos BRIC (p. 77, 107-108).</t>
        </is>
      </c>
      <c r="I10" s="4" t="inlineStr">
        <is>
          <t>BRIC; ações diárias 2003-2010; títulos = EMBI JPMorgan em dólar 2005-2010 (1.364 obs. conjuntas); estresse dos EUA = z(VIX) + z(TED) (p. 80-85).</t>
        </is>
      </c>
      <c r="J10" s="4" t="inlineStr">
        <is>
          <t>Heat maps de volatilidade, VAR, Johansen/VECM e DCC-GARCH t-Student (p. 81-101).</t>
        </is>
      </c>
      <c r="K10" s="4" t="inlineStr">
        <is>
          <t>Correlação ações x 'retornos' do EMBI no Brasil -0,486*** (Tab. 15, p. 106). Estresse EUA x ações Brasil -0,462; x EMBI Brasil 0,455 (Tab. 5 e 10). Correlações DCC sobem após o Lehman (p. 102, 107).</t>
        </is>
      </c>
      <c r="L10" s="4" t="inlineStr">
        <is>
          <t>Contexto eixo 4: SUSTENTA que usam EMBI em dólar, não título doméstico. NÃO usar o sinal como evidência a favor ou contra P3 (EMBI tratado ora como taxa, ora como retorno).</t>
        </is>
      </c>
      <c r="M10" s="4" t="inlineStr">
        <is>
          <t>Medida de estresse z(VIX) + z(TED) (p. 85); índice de calor com média móvel de 30 dias (nota 14, p. 81); marco do Lehman (set/2008).</t>
        </is>
      </c>
      <c r="N10" s="4" t="inlineStr">
        <is>
          <t>Ambiguidade taxa x índice inverte o sinal; amostra curta de títulos; uma única crise externa.</t>
        </is>
      </c>
      <c r="O10" s="4" t="inlineStr">
        <is>
          <t>"Stock and bond return correlations for Brazil and Russia are significantly large and negative." (p. 76)</t>
        </is>
      </c>
      <c r="P10" s="4" t="inlineStr">
        <is>
          <t>Versão publicada (site do autor, Tufts), p. 76-109.</t>
        </is>
      </c>
      <c r="Q10" s="5" t="n"/>
    </row>
    <row r="11" ht="210" customHeight="1">
      <c r="A11" s="2" t="n">
        <v>10</v>
      </c>
      <c r="B11" s="3" t="inlineStr">
        <is>
          <t>CARDOSO; GARCIA (2023)</t>
        </is>
      </c>
      <c r="C11" s="4" t="inlineStr">
        <is>
          <t>cardoso-2023.md</t>
        </is>
      </c>
      <c r="D11" s="2" t="inlineStr">
        <is>
          <t>Anais</t>
        </is>
      </c>
      <c r="E11" s="2" t="inlineStr">
        <is>
          <t>Não (anais)</t>
        </is>
      </c>
      <c r="F11" s="2" t="inlineStr">
        <is>
          <t>4</t>
        </is>
      </c>
      <c r="G11" s="4" t="inlineStr">
        <is>
          <t>Contexto/lacuna; apoio indireto P3</t>
        </is>
      </c>
      <c r="H11" s="4" t="inlineStr">
        <is>
          <t>Estudar o comovimento títulos x ações no Brasil (beta) e seus determinantes macro, de risco e de fluxos, comparando com a literatura dos EUA (p. 1-2, 15).</t>
        </is>
      </c>
      <c r="I11" s="4" t="inlineStr">
        <is>
          <t>Brasil, retornos anuais em frequência mensal, a partir de jan/2006; IDkA Pré 5 anos (principal) e IDkA IPCA 5 anos (comparação); Ibovespa; IPCA, IBC-Br, CDS, EMBI, câmbio, fluxos (p. 2-13).</t>
        </is>
      </c>
      <c r="J11" s="4" t="inlineStr">
        <is>
          <t>MQO móvel com janela de 36 meses e Newey-West 18 lags; regressão dos betas na correlação IPCA x hiato; correlação canônica (p. 3-15). Sem crises, sem VIX, sem dados diários.</t>
        </is>
      </c>
      <c r="K11" s="4" t="inlineStr">
        <is>
          <t>Beta títulos x ações muito positivo de 2015 ao início de 2020; não significativo antes e depois (p. 3). Correlação IPCA x hiato explica o beta (coef. -0,7259; R² 0,527) (Tab. 1, p. 6). CDS explica Ibovespa (R² 0,713) e títulos (R² 0,335) (Tab. 2, p. 6). NTN-B com padrão 'very similar' ao prefixado (p. 10).</t>
        </is>
      </c>
      <c r="L11" s="4" t="inlineStr">
        <is>
          <t>Afirmação da introdução (comovimento positivo 2015-2020, horizonte anual, sem crises): SUSTENTA. 'Usaram IDkA IPCA': SUSTENTA EM PARTE (série secundária). Ameaça à lacuna: NÃO.</t>
        </is>
      </c>
      <c r="M11" s="4" t="inlineStr">
        <is>
          <t>IDkA IPCA 5 anos desde jan/2006 (p. 2, 9); excesso de retorno sobre LTN 12 meses; janela de 36 meses + Newey-West 18 lags (p. 3).</t>
        </is>
      </c>
      <c r="N11" s="4" t="inlineStr">
        <is>
          <t>Não publicado em periódico (versão revista no 24º EBFin 2024, lida só parcialmente). Mede beta, não correlação. Os EUA não são estimados.</t>
        </is>
      </c>
      <c r="O11" s="4" t="inlineStr">
        <is>
          <t>"From 2015 to beginning of 2020, the series are highly positively correlated." (p. 3)</t>
        </is>
      </c>
      <c r="P11" s="4" t="inlineStr">
        <is>
          <t>Anais 45º EBE (16 p., jul/2023); páginas do PDF.</t>
        </is>
      </c>
      <c r="Q11" s="5" t="n"/>
    </row>
    <row r="12" ht="210" customHeight="1">
      <c r="A12" s="2" t="n">
        <v>11</v>
      </c>
      <c r="B12" s="3" t="inlineStr">
        <is>
          <t>SILVA; BERTELLA; PEREIRA (2014)</t>
        </is>
      </c>
      <c r="C12" s="4" t="inlineStr">
        <is>
          <t>silva-2014.md</t>
        </is>
      </c>
      <c r="D12" s="2" t="inlineStr">
        <is>
          <t>Periódico</t>
        </is>
      </c>
      <c r="E12" s="2" t="inlineStr">
        <is>
          <t>Sim</t>
        </is>
      </c>
      <c r="F12" s="2" t="inlineStr">
        <is>
          <t>4</t>
        </is>
      </c>
      <c r="G12" s="4" t="inlineStr">
        <is>
          <t>Contexto (Ibovespa x EMBI-BR)</t>
        </is>
      </c>
      <c r="H12" s="4" t="inlineStr">
        <is>
          <t>Verificar se variáveis macro domésticas e externas explicam o Ibovespa no longo e no curto prazo, e se o precedem (p. 317, 319).</t>
        </is>
      </c>
      <c r="I12" s="4" t="inlineStr">
        <is>
          <t>Brasil, mensal, jan/1995-dez/2007 (156 obs.); Ibovespa, produção, IPCA, Selic real, EMBI-BR, câmbio real, S&amp;P 500, fed funds, petróleo (p. 324-326). Sem título doméstico.</t>
        </is>
      </c>
      <c r="J12" s="4" t="inlineStr">
        <is>
          <t>Raiz unitária, VAR(4), Johansen/VECM, dummy de ago/1998, Granger e resposta ao impulso (p. 322-333).</t>
        </is>
      </c>
      <c r="K12" s="4" t="inlineStr">
        <is>
          <t>Um vetor de cointegração (traço 171,97) (Tab. 5, p. 330). Longo prazo: Ibovespa positivo com S&amp;P 500 e petróleo e negativo com EMBI-BR (Tab. 7, p. 331). S&amp;P 500 e petróleo antecedem o Ibovespa; EMBI-BR não (Tab. 8, p. 332). Choque de risco de crédito é o de maior efeito negativo (p. 332-333).</t>
        </is>
      </c>
      <c r="L12" s="4" t="inlineStr">
        <is>
          <t>Afirmação antiga 'tratam o Brasil de forma indireta': NÃO SUSTENTA. Reformular: estudam o Ibovespa e o risco-país (EMBI-BR), sem títulos domésticos. Ameaça à lacuna: NÃO.</t>
        </is>
      </c>
      <c r="M12" s="4" t="inlineStr">
        <is>
          <t>EMBI-BR como proxy de risco-país (p. 326); dummy de pulso para ago/1998 (p. 330).</t>
        </is>
      </c>
      <c r="N12" s="4" t="inlineStr">
        <is>
          <t>Não estima correlação ações x títulos; dados mensais; amostra exclui 2008. Coautor correto: Mario Augusto Bertella.</t>
        </is>
      </c>
      <c r="O12" s="4" t="inlineStr">
        <is>
          <t>"o risco de crédito, medido pelo EMBI-BR, mostrou-se também significante e inversamente relacionado" (p. 333)</t>
        </is>
      </c>
      <c r="P12" s="4" t="inlineStr">
        <is>
          <t>Versão publicada (SciELO), p. 317-336.</t>
        </is>
      </c>
      <c r="Q12" s="5" t="n"/>
    </row>
    <row r="13" ht="210" customHeight="1">
      <c r="A13" s="2" t="n">
        <v>12</v>
      </c>
      <c r="B13" s="3" t="inlineStr">
        <is>
          <t>MARTÍNEZ ARROYO; MARÍN RODRÍGUEZ (2021)</t>
        </is>
      </c>
      <c r="C13" s="4" t="inlineStr">
        <is>
          <t>martinez-arroyo-2021.md</t>
        </is>
      </c>
      <c r="D13" s="2" t="inlineStr">
        <is>
          <t>Periódico</t>
        </is>
      </c>
      <c r="E13" s="2" t="inlineStr">
        <is>
          <t>Sim</t>
        </is>
      </c>
      <c r="F13" s="2" t="inlineStr">
        <is>
          <t>4</t>
        </is>
      </c>
      <c r="G13" s="4" t="inlineStr">
        <is>
          <t>Contexto (CDS x título)</t>
        </is>
      </c>
      <c r="H13" s="4" t="inlineStr">
        <is>
          <t>Analisar a relação entre CDS, risco soberano e dívida pública no Brasil, Chile, Colômbia e México, 2010-2019 (p. 583, 587).</t>
        </is>
      </c>
      <c r="I13" s="4" t="inlineStr">
        <is>
          <t>4 países latino-americanos; títulos de 10 anos e CDS 5 anos, diário, 12/04/2010-22/02/2019 (2.315 obs.), Bloomberg (p. 597-598). Sem ações.</t>
        </is>
      </c>
      <c r="J13" s="4" t="inlineStr">
        <is>
          <t>Dickey-Fuller, causalidade de Granger e DCC-GARCH bivariado título x CDS (p. 594-604).</t>
        </is>
      </c>
      <c r="K13" s="4" t="inlineStr">
        <is>
          <t>Brasil: Granger bidirecional (títulos → CDS F = 10,35; CDS → títulos F = 24,13) (Tab. 1, p. 600). DCC muito persistente (a = 0,0421; b = 0,9476) (Tab. 4, p. 603). Correlação título x CDS decrescente nos últimos anos (p. 604-605).</t>
        </is>
      </c>
      <c r="L13" s="4" t="inlineStr">
        <is>
          <t>Uso para comovimento ações x títulos na América Latina: NÃO SUSTENTA. Serve só para 'títulos soberanos respondem ao risco de crédito (CDS)'. Ameaça à lacuna: NÃO.</t>
        </is>
      </c>
      <c r="M13" s="4" t="inlineStr">
        <is>
          <t>CDS como proxy de risco soberano (p. 585); preenchimento de feriados com o último valor (p. 597).</t>
        </is>
      </c>
      <c r="N13" s="4" t="inlineStr">
        <is>
          <t>Não trata de ações nem usa wavelets; moeda dos títulos não informada (provavelmente dívida externa); série de 'preços' do Brasil parece taxa e tem zeros (Tab. 2, p. 601).</t>
        </is>
      </c>
      <c r="O13" s="4" t="inlineStr">
        <is>
          <t>"para Brasil y Colombia, existe una causalidad de Granger dada por los CDS para los bonos, y viceversa" (p. 600)</t>
        </is>
      </c>
      <c r="P13" s="4" t="inlineStr">
        <is>
          <t>Versão publicada (SciELO Colômbia), p. 583-608.</t>
        </is>
      </c>
      <c r="Q13" s="5" t="n"/>
    </row>
    <row r="14" ht="210" customHeight="1">
      <c r="A14" s="2" t="n">
        <v>13</v>
      </c>
      <c r="B14" s="3" t="inlineStr">
        <is>
          <t>YIN (2015)</t>
        </is>
      </c>
      <c r="C14" s="4" t="inlineStr">
        <is>
          <t>yin-2015.md</t>
        </is>
      </c>
      <c r="D14" s="2" t="inlineStr">
        <is>
          <t>Livro</t>
        </is>
      </c>
      <c r="E14" s="2" t="inlineStr">
        <is>
          <t>Não (livro)</t>
        </is>
      </c>
      <c r="F14" s="2" t="inlineStr">
        <is>
          <t>Método</t>
        </is>
      </c>
      <c r="G14" s="4" t="inlineStr">
        <is>
          <t>Desenho (replicação teórica)</t>
        </is>
      </c>
      <c r="H14" s="4" t="inlineStr">
        <is>
          <t>Manual de planejamento e uso do estudo de caso como método de pesquisa.</t>
        </is>
      </c>
      <c r="I14" s="4" t="inlineStr">
        <is>
          <t>Não se aplica.</t>
        </is>
      </c>
      <c r="J14" s="4" t="inlineStr">
        <is>
          <t>Não se aplica. Usa-se o capítulo de projeto: casos múltiplos seguem lógica de replicação; generalização analítica.</t>
        </is>
      </c>
      <c r="K14" s="4" t="inlineStr">
        <is>
          <t>Replicação literal (resultados semelhantes) x teórica (resultados contrastantes por razões previsíveis) (YIN, 2014, p. 56-57, via RIDDER, 2017). Generalização analítica, não estatística.</t>
        </is>
      </c>
      <c r="L14" s="4" t="inlineStr">
        <is>
          <t>Sustenta o desenho EUA (referência) x Brasil (contraste). Edição resolvida: 5. ed., Bookman, 2015, trad. C. M. Herrera.</t>
        </is>
      </c>
      <c r="M14" s="4" t="inlineStr">
        <is>
          <t>Definições de replicação literal x teórica, proposições teóricas e generalização analítica.</t>
        </is>
      </c>
      <c r="N14" s="4" t="inlineStr">
        <is>
          <t>Texto integral da edição brasileira não acessado: páginas da Bookman 2015 não confirmadas (não usar p. 60 nem p. 71-72 sem conferir).</t>
        </is>
      </c>
      <c r="O14" s="4" t="inlineStr">
        <is>
          <t>"...(b) predicts contrasting results but for anticipatable reasons (a theoretical replication)." (YIN, 2014, p. 57)</t>
        </is>
      </c>
      <c r="P14" s="4" t="inlineStr">
        <is>
          <t>Catálogo ENAP + resenha de Hollweck (2015) da 5ª ed. inglesa.</t>
        </is>
      </c>
      <c r="Q14" s="5" t="n"/>
    </row>
    <row r="15" ht="210" customHeight="1">
      <c r="A15" s="2" t="n">
        <v>14</v>
      </c>
      <c r="B15" s="3" t="inlineStr">
        <is>
          <t>OHMI; OKIMOTO (2016)</t>
        </is>
      </c>
      <c r="C15" s="4" t="inlineStr">
        <is>
          <t>ohmi-2016.md</t>
        </is>
      </c>
      <c r="D15" s="2" t="inlineStr">
        <is>
          <t>Periódico</t>
        </is>
      </c>
      <c r="E15" s="2" t="inlineStr">
        <is>
          <t>Sim</t>
        </is>
      </c>
      <c r="F15" s="2" t="inlineStr">
        <is>
          <t>1</t>
        </is>
      </c>
      <c r="G15" s="4" t="inlineStr">
        <is>
          <t>P2; contexto P1 e P3</t>
        </is>
      </c>
      <c r="H15" s="4" t="inlineStr">
        <is>
          <t>Testar se há tendência de longo prazo significativa na correlação ações x títulos, com um modelo STR com tendência, e se ela é explicada por variáveis financeiras (p. 1, 3).</t>
        </is>
      </c>
      <c r="I15" s="4" t="inlineStr">
        <is>
          <t>EUA, Alemanha e Reino Unido, jan/1991-mai/2012; correlação realizada mensal com retornos diários de futuros (S&amp;P 500, DAX, FTSE e títulos de 10 anos); VIX, taxa curta e spread (p. 6-7). Mais 8 desenvolvidos, incl. Itália, Portugal e Espanha (p. 14). Sem emergentes.</t>
        </is>
      </c>
      <c r="J15" s="4" t="inlineStr">
        <is>
          <t>STR com AR(1) sobre a correlação transformada por Fisher, dois regimes e transição logística; modelos com VIX, taxa curta, spread e tendência; AIC/SIC e previsão fora da amostra (p. 4-12).</t>
        </is>
      </c>
      <c r="K15" s="4" t="inlineStr">
        <is>
          <t>Dois regimes: EUA ρ1 = 0,298 e ρ2 = -0,321 (Tab. 1, p. 20). VIX alto leva ao regime negativo em todos os países e modelos (EUA 1,983 no Modelo 3, Tab. 5, p. 23). Tendência de queda: de &gt; 0,4 (1999) a -0,53 (mai/2012) (p. 12). Modelo só com VIX e tendência é o melhor dentro e fora da amostra (Tab. 3-4, p. 22). Itália, Portugal e Espanha passam a correlação positiva a partir de dez/2009-jan/2010 (p. 15; Tab. 6, p. 24).</t>
        </is>
      </c>
      <c r="L15" s="4" t="inlineStr">
        <is>
          <t>P2 (EUA): SUSTENTA. P3: contexto por analogia (países do euro de maior risco com correlação positiva). Não cobre o Brasil.</t>
        </is>
      </c>
      <c r="M15" s="4" t="inlineStr">
        <is>
          <t>STR com VIX e tendência como alternativa à regressão linear da P2 (eq. 4, p. 6); transformação de Fisher antes da regressão (eq. 2, p. 4); correlação realizada mensal com dados diários (nota 1, p. 4).</t>
        </is>
      </c>
      <c r="N15" s="4" t="inlineStr">
        <is>
          <t>Correlação mensal, não janela de 63 dias; VIX como variável de transição; tendência forte pode confundir a regressão da correlação no VIX; nos países de risco o VIX perde papel.</t>
        </is>
      </c>
      <c r="O15" s="4" t="inlineStr">
        <is>
          <t>"when the VIX is high or there is much uncertainty in the market, investors try to escape from risks, making stock-bond correlations negative." (p. 8-9)</t>
        </is>
      </c>
      <c r="P15" s="4" t="inlineStr">
        <is>
          <t>AJRC WP 03/2015 (ANU), p. 1-30; versão Applied Economics não acessada.</t>
        </is>
      </c>
      <c r="Q15" s="5" t="n"/>
    </row>
    <row r="16" ht="210" customHeight="1">
      <c r="A16" s="2" t="n">
        <v>15</v>
      </c>
      <c r="B16" s="3" t="inlineStr">
        <is>
          <t>MOSK; PANGALLO; ZEMA (2022)</t>
        </is>
      </c>
      <c r="C16" s="4" t="inlineStr">
        <is>
          <t>mosk-2022.md</t>
        </is>
      </c>
      <c r="D16" s="2" t="inlineStr">
        <is>
          <t>Relatório (BCE)</t>
        </is>
      </c>
      <c r="E16" s="2" t="inlineStr">
        <is>
          <t>Não (relatório)</t>
        </is>
      </c>
      <c r="F16" s="2" t="inlineStr">
        <is>
          <t>2</t>
        </is>
      </c>
      <c r="G16" s="4" t="inlineStr">
        <is>
          <t>Exploratória 2022; contexto P2</t>
        </is>
      </c>
      <c r="H16" s="4" t="inlineStr">
        <is>
          <t>Mostrar que a correlação ações x títulos aumentou recentemente, ligá-la à inflação e discutir efeitos sobre carteiras e estabilidade financeira (Box 2).</t>
        </is>
      </c>
      <c r="I16" s="4" t="inlineStr">
        <is>
          <t>EUA (Treasury 10 anos, S&amp;P 500) e zona do euro (Bund 10 anos, EURO STOXX); correlação de 12 meses com dados diários; regressão mensal jan/2000-set/2022 (notas dos Gráficos A e B).</t>
        </is>
      </c>
      <c r="J16" s="4" t="inlineStr">
        <is>
          <t>Correlação móvel de 12 meses; MQO robusto com inflação linear e quadrática, VSTOXX e confiança do consumidor, mapeado por sigmoide (Andersson et al., 2008); simulação de carteira.</t>
        </is>
      </c>
      <c r="K16" s="4" t="inlineStr">
        <is>
          <t>Correlação positiva do fim dos anos 1960 ao fim dos 1990, negativa nos 2000 e 'has increased recently'. Efeito não linear da inflação, mínimo perto de 2% (zona do euro: α1 = -0,283; α2 = 0,047). VSTOXX alto associado a correlação menor (nota do Gráfico B).</t>
        </is>
      </c>
      <c r="L16" s="4" t="inlineStr">
        <is>
          <t>2022: SUSTENTA EM PARTE (aumento ligado a inflação e aperto monetário; o texto não diz que ficou positiva nem dá o valor). P2: contexto por analogia (VSTOXX).</t>
        </is>
      </c>
      <c r="M16" s="4" t="inlineStr">
        <is>
          <t>Janela de 12 meses com dados diários; especificação com inflação² e índice de volatilidade; mínimo da correlação com inflação de ~2%.</t>
        </is>
      </c>
      <c r="N16" s="4" t="inlineStr">
        <is>
          <t>Não revisado por pares; coeficientes só da zona do euro; gráficos não lidos; sem Brasil.</t>
        </is>
      </c>
      <c r="O16" s="4" t="inlineStr">
        <is>
          <t>"the recent increase in the stock-bond correlation may be related to elevated inflationary pressures and monetary policy tightening." (Box 2)</t>
        </is>
      </c>
      <c r="P16" s="4" t="inlineStr">
        <is>
          <t>Página HTML do box (BCE); paginação do PDF do FSR não conferida.</t>
        </is>
      </c>
      <c r="Q16" s="5" t="n"/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4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11" customWidth="1" min="8" max="8"/>
    <col width="11" customWidth="1" min="9" max="9"/>
    <col width="9" customWidth="1" min="10" max="10"/>
    <col width="60" customWidth="1" min="11" max="11"/>
  </cols>
  <sheetData>
    <row r="1">
      <c r="A1" s="1" t="inlineStr">
        <is>
          <t>#</t>
        </is>
      </c>
      <c r="B1" s="1" t="inlineStr">
        <is>
          <t>Referência</t>
        </is>
      </c>
      <c r="C1" s="1" t="inlineStr">
        <is>
          <t>Revisado por pares?</t>
        </is>
      </c>
      <c r="D1" s="1" t="inlineStr">
        <is>
          <t>P1</t>
        </is>
      </c>
      <c r="E1" s="1" t="inlineStr">
        <is>
          <t>P2</t>
        </is>
      </c>
      <c r="F1" s="1" t="inlineStr">
        <is>
          <t>P3</t>
        </is>
      </c>
      <c r="G1" s="1" t="inlineStr">
        <is>
          <t>P4</t>
        </is>
      </c>
      <c r="H1" s="1" t="inlineStr">
        <is>
          <t>2022 (exploratória)</t>
        </is>
      </c>
      <c r="I1" s="1" t="inlineStr">
        <is>
          <t>Contexto/lacuna</t>
        </is>
      </c>
      <c r="J1" s="1" t="inlineStr">
        <is>
          <t>Método</t>
        </is>
      </c>
      <c r="K1" s="1" t="inlineStr">
        <is>
          <t>Observação para a Etapa 2</t>
        </is>
      </c>
    </row>
    <row r="2" ht="30" customHeight="1">
      <c r="A2" s="2">
        <f>Fichamento!A2</f>
        <v/>
      </c>
      <c r="B2" s="3">
        <f>Fichamento!B2</f>
        <v/>
      </c>
      <c r="C2" s="2">
        <f>Fichamento!E2</f>
        <v/>
      </c>
      <c r="D2" s="2" t="inlineStr">
        <is>
          <t>X</t>
        </is>
      </c>
      <c r="E2" s="2" t="n"/>
      <c r="F2" s="2" t="n"/>
      <c r="G2" s="2" t="n"/>
      <c r="H2" s="2" t="n"/>
      <c r="I2" s="2" t="n"/>
      <c r="J2" s="2" t="n"/>
      <c r="K2" s="4" t="inlineStr">
        <is>
          <t>Flight-to-quality nos EUA só em 2 de 6 crises.</t>
        </is>
      </c>
    </row>
    <row r="3" ht="30" customHeight="1">
      <c r="A3" s="2">
        <f>Fichamento!A3</f>
        <v/>
      </c>
      <c r="B3" s="3">
        <f>Fichamento!B3</f>
        <v/>
      </c>
      <c r="C3" s="2">
        <f>Fichamento!E3</f>
        <v/>
      </c>
      <c r="D3" s="2" t="inlineStr">
        <is>
          <t>X</t>
        </is>
      </c>
      <c r="E3" s="2" t="n"/>
      <c r="F3" s="2" t="inlineStr">
        <is>
          <t>(X)</t>
        </is>
      </c>
      <c r="G3" s="2" t="n"/>
      <c r="H3" s="2" t="n"/>
      <c r="I3" s="2" t="n"/>
      <c r="J3" s="2" t="n"/>
      <c r="K3" s="4" t="inlineStr">
        <is>
          <t>P3 só por analogia (EMBI em dólar, FTS global).</t>
        </is>
      </c>
    </row>
    <row r="4" ht="30" customHeight="1">
      <c r="A4" s="2">
        <f>Fichamento!A4</f>
        <v/>
      </c>
      <c r="B4" s="3">
        <f>Fichamento!B4</f>
        <v/>
      </c>
      <c r="C4" s="2">
        <f>Fichamento!E4</f>
        <v/>
      </c>
      <c r="D4" s="2" t="inlineStr">
        <is>
          <t>(X)</t>
        </is>
      </c>
      <c r="E4" s="2" t="inlineStr">
        <is>
          <t>X</t>
        </is>
      </c>
      <c r="F4" s="2" t="n"/>
      <c r="G4" s="2" t="n"/>
      <c r="H4" s="2" t="n"/>
      <c r="I4" s="2" t="n"/>
      <c r="J4" s="2" t="n"/>
      <c r="K4" s="4" t="inlineStr">
        <is>
          <t>Única base direta da P2; não cobre o Brasil.</t>
        </is>
      </c>
    </row>
    <row r="5" ht="30" customHeight="1">
      <c r="A5" s="2">
        <f>Fichamento!A5</f>
        <v/>
      </c>
      <c r="B5" s="3">
        <f>Fichamento!B5</f>
        <v/>
      </c>
      <c r="C5" s="2">
        <f>Fichamento!E5</f>
        <v/>
      </c>
      <c r="D5" s="2" t="inlineStr">
        <is>
          <t>(X)</t>
        </is>
      </c>
      <c r="E5" s="2" t="inlineStr">
        <is>
          <t>(X)</t>
        </is>
      </c>
      <c r="F5" s="2" t="n"/>
      <c r="G5" s="2" t="n"/>
      <c r="H5" s="2" t="inlineStr">
        <is>
          <t>(X)</t>
        </is>
      </c>
      <c r="I5" s="2" t="n"/>
      <c r="J5" s="2" t="n"/>
      <c r="K5" s="4" t="inlineStr">
        <is>
          <t>Explica o sinal pelo regime de inflação, não pelo tipo de choque.</t>
        </is>
      </c>
    </row>
    <row r="6" ht="30" customHeight="1">
      <c r="A6" s="2">
        <f>Fichamento!A6</f>
        <v/>
      </c>
      <c r="B6" s="3">
        <f>Fichamento!B6</f>
        <v/>
      </c>
      <c r="C6" s="2">
        <f>Fichamento!E6</f>
        <v/>
      </c>
      <c r="D6" s="2" t="n"/>
      <c r="E6" s="2" t="n"/>
      <c r="F6" s="2" t="n"/>
      <c r="G6" s="2" t="n"/>
      <c r="H6" s="2" t="n"/>
      <c r="I6" s="2" t="n"/>
      <c r="J6" s="2" t="inlineStr">
        <is>
          <t>X</t>
        </is>
      </c>
      <c r="K6" s="4" t="inlineStr">
        <is>
          <t>Ajuste de viés de volatilidade: robustez e limitação.</t>
        </is>
      </c>
    </row>
    <row r="7" ht="30" customHeight="1">
      <c r="A7" s="2">
        <f>Fichamento!A7</f>
        <v/>
      </c>
      <c r="B7" s="3">
        <f>Fichamento!B7</f>
        <v/>
      </c>
      <c r="C7" s="2">
        <f>Fichamento!E7</f>
        <v/>
      </c>
      <c r="D7" s="2" t="inlineStr">
        <is>
          <t>(X)</t>
        </is>
      </c>
      <c r="E7" s="2" t="n"/>
      <c r="F7" s="2" t="inlineStr">
        <is>
          <t>X</t>
        </is>
      </c>
      <c r="G7" s="2" t="n"/>
      <c r="H7" s="2" t="n"/>
      <c r="I7" s="2" t="inlineStr">
        <is>
          <t>C</t>
        </is>
      </c>
      <c r="J7" s="2" t="n"/>
      <c r="K7" s="4" t="inlineStr">
        <is>
          <t>Brasil com R² 0,01; NÃO serve como fonte para 2022.</t>
        </is>
      </c>
    </row>
    <row r="8" ht="30" customHeight="1">
      <c r="A8" s="2">
        <f>Fichamento!A8</f>
        <v/>
      </c>
      <c r="B8" s="3">
        <f>Fichamento!B8</f>
        <v/>
      </c>
      <c r="C8" s="2">
        <f>Fichamento!E8</f>
        <v/>
      </c>
      <c r="D8" s="2" t="n"/>
      <c r="E8" s="2" t="n"/>
      <c r="F8" s="2" t="inlineStr">
        <is>
          <t>(X)</t>
        </is>
      </c>
      <c r="G8" s="2" t="inlineStr">
        <is>
          <t>(X)</t>
        </is>
      </c>
      <c r="H8" s="2" t="n"/>
      <c r="I8" s="2" t="n"/>
      <c r="J8" s="2" t="n"/>
      <c r="K8" s="4" t="inlineStr">
        <is>
          <t>P4 só indireta; avaliar reformular P4 com CDS &gt; 2%.</t>
        </is>
      </c>
    </row>
    <row r="9" ht="30" customHeight="1">
      <c r="A9" s="2">
        <f>Fichamento!A9</f>
        <v/>
      </c>
      <c r="B9" s="3">
        <f>Fichamento!B9</f>
        <v/>
      </c>
      <c r="C9" s="2">
        <f>Fichamento!E9</f>
        <v/>
      </c>
      <c r="D9" s="2" t="n"/>
      <c r="E9" s="2" t="n"/>
      <c r="F9" s="2" t="inlineStr">
        <is>
          <t>X</t>
        </is>
      </c>
      <c r="G9" s="2" t="n"/>
      <c r="H9" s="2" t="n"/>
      <c r="I9" s="2" t="n"/>
      <c r="J9" s="2" t="n"/>
      <c r="K9" s="4" t="inlineStr">
        <is>
          <t>Justifica o controle pelo câmbio bilateral USD/BRL.</t>
        </is>
      </c>
    </row>
    <row r="10" ht="30" customHeight="1">
      <c r="A10" s="2">
        <f>Fichamento!A10</f>
        <v/>
      </c>
      <c r="B10" s="3">
        <f>Fichamento!B10</f>
        <v/>
      </c>
      <c r="C10" s="2">
        <f>Fichamento!E10</f>
        <v/>
      </c>
      <c r="D10" s="2" t="n"/>
      <c r="E10" s="2" t="n"/>
      <c r="F10" s="2" t="n"/>
      <c r="G10" s="2" t="n"/>
      <c r="H10" s="2" t="n"/>
      <c r="I10" s="2" t="inlineStr">
        <is>
          <t>C</t>
        </is>
      </c>
      <c r="J10" s="2" t="n"/>
      <c r="K10" s="4" t="inlineStr">
        <is>
          <t>Não citar o sinal (ambiguidade taxa x retorno do EMBI).</t>
        </is>
      </c>
    </row>
    <row r="11" ht="30" customHeight="1">
      <c r="A11" s="2">
        <f>Fichamento!A11</f>
        <v/>
      </c>
      <c r="B11" s="3">
        <f>Fichamento!B11</f>
        <v/>
      </c>
      <c r="C11" s="2">
        <f>Fichamento!E11</f>
        <v/>
      </c>
      <c r="D11" s="2" t="n"/>
      <c r="E11" s="2" t="n"/>
      <c r="F11" s="2" t="inlineStr">
        <is>
          <t>(X)</t>
        </is>
      </c>
      <c r="G11" s="2" t="n"/>
      <c r="H11" s="2" t="n"/>
      <c r="I11" s="2" t="inlineStr">
        <is>
          <t>X</t>
        </is>
      </c>
      <c r="J11" s="2" t="n"/>
      <c r="K11" s="4" t="inlineStr">
        <is>
          <t>Anais: não conta como revisado por pares.</t>
        </is>
      </c>
    </row>
    <row r="12" ht="30" customHeight="1">
      <c r="A12" s="2">
        <f>Fichamento!A12</f>
        <v/>
      </c>
      <c r="B12" s="3">
        <f>Fichamento!B12</f>
        <v/>
      </c>
      <c r="C12" s="2">
        <f>Fichamento!E12</f>
        <v/>
      </c>
      <c r="D12" s="2" t="n"/>
      <c r="E12" s="2" t="n"/>
      <c r="F12" s="2" t="n"/>
      <c r="G12" s="2" t="n"/>
      <c r="H12" s="2" t="n"/>
      <c r="I12" s="2" t="inlineStr">
        <is>
          <t>C</t>
        </is>
      </c>
      <c r="J12" s="2" t="n"/>
      <c r="K12" s="4" t="inlineStr">
        <is>
          <t>Reformular a frase da introdução que usa esta obra.</t>
        </is>
      </c>
    </row>
    <row r="13" ht="30" customHeight="1">
      <c r="A13" s="2">
        <f>Fichamento!A13</f>
        <v/>
      </c>
      <c r="B13" s="3">
        <f>Fichamento!B13</f>
        <v/>
      </c>
      <c r="C13" s="2">
        <f>Fichamento!E13</f>
        <v/>
      </c>
      <c r="D13" s="2" t="n"/>
      <c r="E13" s="2" t="n"/>
      <c r="F13" s="2" t="n"/>
      <c r="G13" s="2" t="n"/>
      <c r="H13" s="2" t="n"/>
      <c r="I13" s="2" t="inlineStr">
        <is>
          <t>C</t>
        </is>
      </c>
      <c r="J13" s="2" t="n"/>
      <c r="K13" s="4" t="inlineStr">
        <is>
          <t>Não usar para comovimento ações x títulos.</t>
        </is>
      </c>
    </row>
    <row r="14" ht="30" customHeight="1">
      <c r="A14" s="2">
        <f>Fichamento!A14</f>
        <v/>
      </c>
      <c r="B14" s="3">
        <f>Fichamento!B14</f>
        <v/>
      </c>
      <c r="C14" s="2">
        <f>Fichamento!E14</f>
        <v/>
      </c>
      <c r="D14" s="2" t="n"/>
      <c r="E14" s="2" t="n"/>
      <c r="F14" s="2" t="n"/>
      <c r="G14" s="2" t="n"/>
      <c r="H14" s="2" t="n"/>
      <c r="I14" s="2" t="n"/>
      <c r="J14" s="2" t="inlineStr">
        <is>
          <t>X</t>
        </is>
      </c>
      <c r="K14" s="4" t="inlineStr">
        <is>
          <t>Conferir páginas num exemplar da Bookman 2015.</t>
        </is>
      </c>
    </row>
    <row r="15" ht="30" customHeight="1">
      <c r="A15" s="2">
        <f>Fichamento!A15</f>
        <v/>
      </c>
      <c r="B15" s="3">
        <f>Fichamento!B15</f>
        <v/>
      </c>
      <c r="C15" s="2">
        <f>Fichamento!E15</f>
        <v/>
      </c>
      <c r="D15" s="2" t="inlineStr">
        <is>
          <t>(X)</t>
        </is>
      </c>
      <c r="E15" s="2" t="inlineStr">
        <is>
          <t>X</t>
        </is>
      </c>
      <c r="F15" s="2" t="inlineStr">
        <is>
          <t>(X)</t>
        </is>
      </c>
      <c r="G15" s="2" t="n"/>
      <c r="H15" s="2" t="n"/>
      <c r="I15" s="2" t="n"/>
      <c r="J15" s="2" t="n"/>
      <c r="K15" s="4" t="inlineStr">
        <is>
          <t>Segunda base direta da P2 (EUA); países de risco do euro com correlação positiva.</t>
        </is>
      </c>
    </row>
    <row r="16" ht="30" customHeight="1">
      <c r="A16" s="2">
        <f>Fichamento!A16</f>
        <v/>
      </c>
      <c r="B16" s="3">
        <f>Fichamento!B16</f>
        <v/>
      </c>
      <c r="C16" s="2">
        <f>Fichamento!E16</f>
        <v/>
      </c>
      <c r="D16" s="2" t="n"/>
      <c r="E16" s="2" t="inlineStr">
        <is>
          <t>(X)</t>
        </is>
      </c>
      <c r="F16" s="2" t="n"/>
      <c r="G16" s="2" t="n"/>
      <c r="H16" s="2" t="inlineStr">
        <is>
          <t>X</t>
        </is>
      </c>
      <c r="I16" s="2" t="n"/>
      <c r="J16" s="2" t="n"/>
      <c r="K16" s="4" t="inlineStr">
        <is>
          <t>Fonte para 2022; não diz em texto que a correlação ficou positiva.</t>
        </is>
      </c>
    </row>
    <row r="18">
      <c r="B18" s="6" t="inlineStr">
        <is>
          <t>Base direta (X)</t>
        </is>
      </c>
      <c r="D18" s="7">
        <f>COUNTIF(D2:D16,"X")</f>
        <v/>
      </c>
      <c r="E18" s="7">
        <f>COUNTIF(E2:E16,"X")</f>
        <v/>
      </c>
      <c r="F18" s="7">
        <f>COUNTIF(F2:F16,"X")</f>
        <v/>
      </c>
      <c r="G18" s="7">
        <f>COUNTIF(G2:G16,"X")</f>
        <v/>
      </c>
      <c r="H18" s="7">
        <f>COUNTIF(H2:H16,"X")</f>
        <v/>
      </c>
    </row>
    <row r="19">
      <c r="B19" s="6" t="inlineStr">
        <is>
          <t>Base parcial/indireta ((X))</t>
        </is>
      </c>
      <c r="D19" s="7">
        <f>COUNTIF(D2:D16,"(X)")</f>
        <v/>
      </c>
      <c r="E19" s="7">
        <f>COUNTIF(E2:E16,"(X)")</f>
        <v/>
      </c>
      <c r="F19" s="7">
        <f>COUNTIF(F2:F16,"(X)")</f>
        <v/>
      </c>
      <c r="G19" s="7">
        <f>COUNTIF(G2:G16,"(X)")</f>
        <v/>
      </c>
      <c r="H19" s="7">
        <f>COUNTIF(H2:H16,"(X)")</f>
        <v/>
      </c>
    </row>
    <row r="20">
      <c r="B20" s="6" t="inlineStr">
        <is>
          <t>Diretas revisadas por pares</t>
        </is>
      </c>
      <c r="D20" s="7">
        <f>COUNTIFS(D2:D16,"X",$C$2:$C$16,"Sim")</f>
        <v/>
      </c>
      <c r="E20" s="7">
        <f>COUNTIFS(E2:E16,"X",$C$2:$C$16,"Sim")</f>
        <v/>
      </c>
      <c r="F20" s="7">
        <f>COUNTIFS(F2:F16,"X",$C$2:$C$16,"Sim")</f>
        <v/>
      </c>
      <c r="G20" s="7">
        <f>COUNTIFS(G2:G16,"X",$C$2:$C$16,"Sim")</f>
        <v/>
      </c>
      <c r="H20" s="7">
        <f>COUNTIFS(H2:H16,"X",$C$2:$C$16,"Sim")</f>
        <v/>
      </c>
    </row>
    <row r="21" ht="30" customHeight="1">
      <c r="B21" s="6" t="inlineStr">
        <is>
          <t>Situação (critério: ≥ 2 diretas revisadas por pares)</t>
        </is>
      </c>
      <c r="D21" s="7">
        <f>IF(D20&gt;=2,"OK",IF(D18+D19&gt;=2,"Reforçar","Base fraca"))</f>
        <v/>
      </c>
      <c r="E21" s="7">
        <f>IF(E20&gt;=2,"OK",IF(E18+E19&gt;=2,"Reforçar","Base fraca"))</f>
        <v/>
      </c>
      <c r="F21" s="7">
        <f>IF(F20&gt;=2,"OK",IF(F18+F19&gt;=2,"Reforçar","Base fraca"))</f>
        <v/>
      </c>
      <c r="G21" s="7">
        <f>IF(G20&gt;=2,"OK",IF(G18+G19&gt;=2,"Reforçar","Base fraca"))</f>
        <v/>
      </c>
      <c r="H21" s="7">
        <f>IF(H20&gt;=2,"OK",IF(H18+H19&gt;=2,"Reforçar","Base fraca"))</f>
        <v/>
      </c>
    </row>
    <row r="22">
      <c r="B22" s="8" t="inlineStr">
        <is>
          <t>Critério sugerido no plano de trabalho (Etapa 2, passo 2). '2022' é exploratória e não exige base formal.</t>
        </is>
      </c>
    </row>
  </sheetData>
  <autoFilter ref="A1:K1"/>
  <conditionalFormatting sqref="D2:J16">
    <cfRule type="cellIs" priority="1" operator="equal" dxfId="0">
      <formula>"X"</formula>
    </cfRule>
    <cfRule type="cellIs" priority="2" operator="equal" dxfId="1">
      <formula>"(X)"</formula>
    </cfRule>
    <cfRule type="cellIs" priority="3" operator="equal" dxfId="2">
      <formula>"C"</formula>
    </cfRule>
  </conditionalFormatting>
  <conditionalFormatting sqref="D21:H21">
    <cfRule type="cellIs" priority="4" operator="equal" dxfId="0">
      <formula>"OK"</formula>
    </cfRule>
    <cfRule type="cellIs" priority="5" operator="equal" dxfId="1">
      <formula>"Reforçar"</formula>
    </cfRule>
    <cfRule type="cellIs" priority="6" operator="equal" dxfId="3">
      <formula>"Base fraca"</formula>
    </cfRule>
  </conditionalFormatting>
  <dataValidations count="1">
    <dataValidation sqref="D2:J16" showDropDown="0" showInputMessage="0" showErrorMessage="0" allowBlank="1" type="list">
      <formula1>"X,(X),C"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55" customWidth="1" min="2" max="2"/>
    <col width="30" customWidth="1" min="3" max="3"/>
    <col width="32" customWidth="1" min="4" max="4"/>
  </cols>
  <sheetData>
    <row r="1">
      <c r="A1" s="1" t="inlineStr">
        <is>
          <t>Parâmetro</t>
        </is>
      </c>
      <c r="B1" s="1" t="inlineStr">
        <is>
          <t>Valor / definição</t>
        </is>
      </c>
      <c r="C1" s="1" t="inlineStr">
        <is>
          <t>Fonte (pág.)</t>
        </is>
      </c>
      <c r="D1" s="1" t="inlineStr">
        <is>
          <t>Uso no artigo (etapa)</t>
        </is>
      </c>
    </row>
    <row r="2" ht="32" customHeight="1">
      <c r="A2" s="3" t="inlineStr">
        <is>
          <t>Janela da correlação móvel</t>
        </is>
      </c>
      <c r="B2" s="4" t="inlineStr">
        <is>
          <t>63 dias úteis (~1 trimestre); alternativas 21 e 126</t>
        </is>
      </c>
      <c r="C2" s="4" t="inlineStr">
        <is>
          <t>Molenaar et al. (2024, p. 33); Campbell et al. (2017, nota 10, p. 277)</t>
        </is>
      </c>
      <c r="D2" s="4" t="inlineStr">
        <is>
          <t>Etapa 4.1 e robustez 4.3</t>
        </is>
      </c>
    </row>
    <row r="3" ht="32" customHeight="1">
      <c r="A3" s="3" t="inlineStr">
        <is>
          <t>Janela de crise curta</t>
        </is>
      </c>
      <c r="B3" s="4" t="inlineStr">
        <is>
          <t>20 pregões após o evento; referência de 70 dias</t>
        </is>
      </c>
      <c r="C3" s="4" t="inlineStr">
        <is>
          <t>Baur e Lucey (2009, p. 346-349)</t>
        </is>
      </c>
      <c r="D3" s="4" t="inlineStr">
        <is>
          <t>Robustez; alerta sobre diluição em 63 dias</t>
        </is>
      </c>
    </row>
    <row r="4" ht="32" customHeight="1">
      <c r="A4" s="3" t="inlineStr">
        <is>
          <t>Horizonte da correlação condicionada ao VIX</t>
        </is>
      </c>
      <c r="B4" s="4" t="inlineStr">
        <is>
          <t>22 pregões (prazo das opções do VIX)</t>
        </is>
      </c>
      <c r="C4" s="4" t="inlineStr">
        <is>
          <t>Connolly et al. (2005, p. 3, 16)</t>
        </is>
      </c>
      <c r="D4" s="4" t="inlineStr">
        <is>
          <t>P2</t>
        </is>
      </c>
    </row>
    <row r="5" ht="32" customHeight="1">
      <c r="A5" s="3" t="inlineStr">
        <is>
          <t>Limiar de crise global (VIX)</t>
        </is>
      </c>
      <c r="B5" s="4" t="inlineStr">
        <is>
          <t>VIX &gt; 30 (também 20, 25, 35, 40); VIX antigo (S&amp;P 100)</t>
        </is>
      </c>
      <c r="C5" s="4" t="inlineStr">
        <is>
          <t>Connolly et al. (2005, Tab. 2, p. 40)</t>
        </is>
      </c>
      <c r="D5" s="4" t="inlineStr">
        <is>
          <t>Decisão 3.1; P1, P2, P4</t>
        </is>
      </c>
    </row>
    <row r="6" ht="32" customHeight="1">
      <c r="A6" s="3" t="inlineStr">
        <is>
          <t>Especificação do teste de P2</t>
        </is>
      </c>
      <c r="B6" s="4" t="inlineStr">
        <is>
          <t>B = a0 + (a1 + a2·ln VIX(t-1))·S; a2 &lt; 0</t>
        </is>
      </c>
      <c r="C6" s="4" t="inlineStr">
        <is>
          <t>Connolly et al. (2005, Eq. 5, p. 18)</t>
        </is>
      </c>
      <c r="D6" s="4" t="inlineStr">
        <is>
          <t>P2 (alternativa à regressão da correlação no VIX)</t>
        </is>
      </c>
    </row>
    <row r="7" ht="32" customHeight="1">
      <c r="A7" s="3" t="inlineStr">
        <is>
          <t>Definição de flight-to-quality</t>
        </is>
      </c>
      <c r="B7" s="4" t="inlineStr">
        <is>
          <t>Queda significativa da correlação E nível negativo</t>
        </is>
      </c>
      <c r="C7" s="4" t="inlineStr">
        <is>
          <t>Baur e Lucey (2009, p. 341)</t>
        </is>
      </c>
      <c r="D7" s="4" t="inlineStr">
        <is>
          <t>Critério de veredito da P1</t>
        </is>
      </c>
    </row>
    <row r="8" ht="32" customHeight="1">
      <c r="A8" s="3" t="inlineStr">
        <is>
          <t>Definição de flight to safety</t>
        </is>
      </c>
      <c r="B8" s="4" t="inlineStr">
        <is>
          <t>Título sobe, ação cai, correlação negativa e estresse</t>
        </is>
      </c>
      <c r="C8" s="4" t="inlineStr">
        <is>
          <t>Baele et al. (2020, p. 690)</t>
        </is>
      </c>
      <c r="D8" s="4" t="inlineStr">
        <is>
          <t>Revisão de literatura 2.1</t>
        </is>
      </c>
    </row>
    <row r="9" ht="32" customHeight="1">
      <c r="A9" s="3" t="inlineStr">
        <is>
          <t>FTS global</t>
        </is>
      </c>
      <c r="B9" s="4" t="inlineStr">
        <is>
          <t>FTS dos EUA como proxy do choque global</t>
        </is>
      </c>
      <c r="C9" s="4" t="inlineStr">
        <is>
          <t>Baele et al. (2020, p. 727)</t>
        </is>
      </c>
      <c r="D9" s="4" t="inlineStr">
        <is>
          <t>P4 (crise global)</t>
        </is>
      </c>
    </row>
    <row r="10" ht="32" customHeight="1">
      <c r="A10" s="3" t="inlineStr">
        <is>
          <t>Dummy de FTS diária</t>
        </is>
      </c>
      <c r="B10" s="4" t="inlineStr">
        <is>
          <t>Título &gt; +2 dp e ações &lt; -2 dp</t>
        </is>
      </c>
      <c r="C10" s="4" t="inlineStr">
        <is>
          <t>Dufour et al. (2017, p. 18)</t>
        </is>
      </c>
      <c r="D10" s="4" t="inlineStr">
        <is>
          <t>Robustez da definição de crise</t>
        </is>
      </c>
    </row>
    <row r="11" ht="32" customHeight="1">
      <c r="A11" s="3" t="inlineStr">
        <is>
          <t>Limiar de risco soberano</t>
        </is>
      </c>
      <c r="B11" s="4" t="inlineStr">
        <is>
          <t>CDS 5 anos &gt; 2% (testado 1% a 3%)</t>
        </is>
      </c>
      <c r="C11" s="4" t="inlineStr">
        <is>
          <t>Dufour et al. (2017, p. 13, nota 13)</t>
        </is>
      </c>
      <c r="D11" s="4" t="inlineStr">
        <is>
          <t>Possível reformulação da P4</t>
        </is>
      </c>
    </row>
    <row r="12" ht="32" customHeight="1">
      <c r="A12" s="3" t="inlineStr">
        <is>
          <t>Ajuste de viés de volatilidade</t>
        </is>
      </c>
      <c r="B12" s="4" t="inlineStr">
        <is>
          <t>ρ = ρ* / √(1 + δ[1 - ρ*²]); δ = σ²alta/σ²baixa - 1</t>
        </is>
      </c>
      <c r="C12" s="4" t="inlineStr">
        <is>
          <t>Forbes e Rigobon (2002, Eq. 10-11, p. 2233)</t>
        </is>
      </c>
      <c r="D12" s="4" t="inlineStr">
        <is>
          <t>Robustez e limitação (4.2)</t>
        </is>
      </c>
    </row>
    <row r="13" ht="32" customHeight="1">
      <c r="A13" s="3" t="inlineStr">
        <is>
          <t>Câmbio de controle</t>
        </is>
      </c>
      <c r="B13" s="4" t="inlineStr">
        <is>
          <t>Bilateral USD/BRL (não efetivo)</t>
        </is>
      </c>
      <c r="C13" s="4" t="inlineStr">
        <is>
          <t>Hofmann et al. (2020, p. 5, 22)</t>
        </is>
      </c>
      <c r="D13" s="4" t="inlineStr">
        <is>
          <t>P3</t>
        </is>
      </c>
    </row>
    <row r="14" ht="32" customHeight="1">
      <c r="A14" s="3" t="inlineStr">
        <is>
          <t>Série da NTN-B</t>
        </is>
      </c>
      <c r="B14" s="4" t="inlineStr">
        <is>
          <t>IDkA IPCA 5 anos (Anbima), desde jan/2006</t>
        </is>
      </c>
      <c r="C14" s="4" t="inlineStr">
        <is>
          <t>Cardoso e Garcia (2023, p. 2, 9)</t>
        </is>
      </c>
      <c r="D14" s="4" t="inlineStr">
        <is>
          <t>Decisão 3.1 (fonte da NTN-B)</t>
        </is>
      </c>
    </row>
    <row r="15" ht="32" customHeight="1">
      <c r="A15" s="3" t="inlineStr">
        <is>
          <t>Retorno a partir de yield</t>
        </is>
      </c>
      <c r="B15" s="4" t="inlineStr">
        <is>
          <t>r(n,t+1) = n·y(n,t) - (n - 1/264)·y(n,t+1)</t>
        </is>
      </c>
      <c r="C15" s="4" t="inlineStr">
        <is>
          <t>Campbell et al. (2017, nota 10, p. 277)</t>
        </is>
      </c>
      <c r="D15" s="4" t="inlineStr">
        <is>
          <t>Etapa 3 (conversão yield → retorno)</t>
        </is>
      </c>
    </row>
    <row r="16" ht="32" customHeight="1">
      <c r="A16" s="3" t="inlineStr">
        <is>
          <t>Correlação de Spearman</t>
        </is>
      </c>
      <c r="B16" s="4" t="inlineStr">
        <is>
          <t>Robustez a observações influentes</t>
        </is>
      </c>
      <c r="C16" s="4" t="inlineStr">
        <is>
          <t>Molenaar et al. (2024, p. 18, 33)</t>
        </is>
      </c>
      <c r="D16" s="4" t="inlineStr">
        <is>
          <t>Robustez</t>
        </is>
      </c>
    </row>
    <row r="17" ht="32" customHeight="1">
      <c r="A17" s="3" t="inlineStr">
        <is>
          <t>Transformação de Fisher</t>
        </is>
      </c>
      <c r="B17" s="4" t="inlineStr">
        <is>
          <t>Diferença pequena para |ρ| ≤ 0,75</t>
        </is>
      </c>
      <c r="C17" s="4" t="inlineStr">
        <is>
          <t>Molenaar et al. (2024, nota 25, p. 35)</t>
        </is>
      </c>
      <c r="D17" s="4" t="inlineStr">
        <is>
          <t>P1 (z de Fisher)</t>
        </is>
      </c>
    </row>
    <row r="18" ht="32" customHeight="1">
      <c r="A18" s="3" t="inlineStr">
        <is>
          <t>Feriados</t>
        </is>
      </c>
      <c r="B18" s="4" t="inlineStr">
        <is>
          <t>Repetir o último valor</t>
        </is>
      </c>
      <c r="C18" s="4" t="inlineStr">
        <is>
          <t>Martínez Arroyo e Marín Rodríguez (2021, p. 597)</t>
        </is>
      </c>
      <c r="D18" s="4" t="inlineStr">
        <is>
          <t>Decisão 3.1 (feriados)</t>
        </is>
      </c>
    </row>
    <row r="19" ht="32" customHeight="1">
      <c r="A19" s="3" t="inlineStr">
        <is>
          <t>Datas de crises fixas</t>
        </is>
      </c>
      <c r="B19" s="4" t="inlineStr">
        <is>
          <t>Ásia 01/10-31/12/1997; Rússia 06/07-31/12/1998; Lehman set/2008; subprime ago/2007; soberana europeia jan/2010</t>
        </is>
      </c>
      <c r="C19" s="4" t="inlineStr">
        <is>
          <t>Connolly et al. (2005, p. 19); Bianconi et al. (2013, p. 82); Dufour et al. (2017, p. 10)</t>
        </is>
      </c>
      <c r="D19" s="4" t="inlineStr">
        <is>
          <t>Robustez 4.3 (datas da literatura)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50" customWidth="1" min="2" max="2"/>
    <col width="22" customWidth="1" min="3" max="3"/>
    <col width="55" customWidth="1" min="4" max="4"/>
    <col width="16" customWidth="1" min="5" max="5"/>
    <col width="14" customWidth="1" min="6" max="6"/>
  </cols>
  <sheetData>
    <row r="1">
      <c r="A1" s="1" t="inlineStr">
        <is>
          <t>#</t>
        </is>
      </c>
      <c r="B1" s="1" t="inlineStr">
        <is>
          <t>Pendência</t>
        </is>
      </c>
      <c r="C1" s="1" t="inlineStr">
        <is>
          <t>Origem (ficha)</t>
        </is>
      </c>
      <c r="D1" s="1" t="inlineStr">
        <is>
          <t>Ação sugerida</t>
        </is>
      </c>
      <c r="E1" s="1" t="inlineStr">
        <is>
          <t>Responsável</t>
        </is>
      </c>
      <c r="F1" s="1" t="inlineStr">
        <is>
          <t>Status</t>
        </is>
      </c>
    </row>
    <row r="2" ht="32" customHeight="1">
      <c r="A2" s="2" t="n">
        <v>1</v>
      </c>
      <c r="B2" s="4" t="inlineStr">
        <is>
          <t>P2: parte dos EUA agora com 2 bases diretas (Connolly et al., 2005; Ohmi e Okimoto, 2016); parte do Brasil sem nenhuma</t>
        </is>
      </c>
      <c r="C2" s="4" t="inlineStr">
        <is>
          <t>connolly-2005.md; ohmi-2016.md</t>
        </is>
      </c>
      <c r="D2" s="4" t="inlineStr">
        <is>
          <t>Buscar estudos de correlação ações x títulos condicionada ao VIX em emergentes; ler Andersson, Krylova e Vähämaa (2008)</t>
        </is>
      </c>
      <c r="E2" s="9" t="n"/>
      <c r="F2" s="9" t="inlineStr">
        <is>
          <t>Aberta</t>
        </is>
      </c>
    </row>
    <row r="3" ht="32" customHeight="1">
      <c r="A3" s="2" t="n">
        <v>2</v>
      </c>
      <c r="B3" s="4" t="inlineStr">
        <is>
          <t>Miyajima et al. (2015) não fichado: site do BIS com verificação anti-robô (Gencer, 2015, excluído por falta de acesso)</t>
        </is>
      </c>
      <c r="C3" s="4" t="inlineStr">
        <is>
          <t>log-buscas.md (C2, C4)</t>
        </is>
      </c>
      <c r="D3" s="4" t="inlineStr">
        <is>
          <t>Um integrante baixa o PDF (bis.org/publ/work391.pdf ou Emerging Markets Review via CAPES) e salva em fichamento/pdfs/</t>
        </is>
      </c>
      <c r="E3" s="9" t="n"/>
      <c r="F3" s="9" t="inlineStr">
        <is>
          <t>Aberta</t>
        </is>
      </c>
    </row>
    <row r="4" ht="32" customHeight="1">
      <c r="A4" s="2" t="n">
        <v>3</v>
      </c>
      <c r="B4" s="4" t="inlineStr">
        <is>
          <t>P4 (crise local x global) sem base direta</t>
        </is>
      </c>
      <c r="C4" s="4" t="inlineStr">
        <is>
          <t>dufour-2017.md</t>
        </is>
      </c>
      <c r="D4" s="4" t="inlineStr">
        <is>
          <t>Buscar evidência de choque doméstico x global ou reformular P4 com risco soberano elevado (CDS &gt; 2%)</t>
        </is>
      </c>
      <c r="E4" s="9" t="n"/>
      <c r="F4" s="9" t="inlineStr">
        <is>
          <t>Aberta</t>
        </is>
      </c>
    </row>
    <row r="5" ht="32" customHeight="1">
      <c r="A5" s="2" t="n">
        <v>4</v>
      </c>
      <c r="B5" s="4" t="inlineStr">
        <is>
          <t>Exploratória 2022: fonte encontrada (Mosk et al., 2022), mas o texto não diz que a correlação ficou positiva</t>
        </is>
      </c>
      <c r="C5" s="4" t="inlineStr">
        <is>
          <t>mosk-2022.md</t>
        </is>
      </c>
      <c r="D5" s="4" t="inlineStr">
        <is>
          <t>Conferir o Gráfico A do box ou confirmar com os próprios dados na Etapa 4</t>
        </is>
      </c>
      <c r="E5" s="9" t="n"/>
      <c r="F5" s="9" t="inlineStr">
        <is>
          <t>Aberta</t>
        </is>
      </c>
    </row>
    <row r="6" ht="32" customHeight="1">
      <c r="A6" s="2" t="n">
        <v>5</v>
      </c>
      <c r="B6" s="4" t="inlineStr">
        <is>
          <t>Frase da introdução sobre 'natureza do choque' sustentada só em parte</t>
        </is>
      </c>
      <c r="C6" s="4" t="inlineStr">
        <is>
          <t>campbell-2017.md</t>
        </is>
      </c>
      <c r="D6" s="4" t="inlineStr">
        <is>
          <t>Adotar a redação sugerida na ficha e combinar com Molenaar et al. (2024, p. 20)</t>
        </is>
      </c>
      <c r="E6" s="9" t="n"/>
      <c r="F6" s="9" t="inlineStr">
        <is>
          <t>Aberta</t>
        </is>
      </c>
    </row>
    <row r="7" ht="32" customHeight="1">
      <c r="A7" s="2" t="n">
        <v>6</v>
      </c>
      <c r="B7" s="4" t="inlineStr">
        <is>
          <t>Frase antiga sobre Silva et al. (2014) ('Brasil de forma indireta') não se sustenta</t>
        </is>
      </c>
      <c r="C7" s="4" t="inlineStr">
        <is>
          <t>silva-2014.md</t>
        </is>
      </c>
      <c r="D7" s="4" t="inlineStr">
        <is>
          <t>Reescrever o trecho do eixo 4 na seção 1.3</t>
        </is>
      </c>
      <c r="E7" s="9" t="n"/>
      <c r="F7" s="9" t="inlineStr">
        <is>
          <t>Aberta</t>
        </is>
      </c>
    </row>
    <row r="8" ht="32" customHeight="1">
      <c r="A8" s="2" t="n">
        <v>7</v>
      </c>
      <c r="B8" s="4" t="inlineStr">
        <is>
          <t>Martínez Arroyo e Marín Rodríguez (2021) não tratam de ações</t>
        </is>
      </c>
      <c r="C8" s="4" t="inlineStr">
        <is>
          <t>martinez-arroyo-2021.md</t>
        </is>
      </c>
      <c r="D8" s="4" t="inlineStr">
        <is>
          <t>Retirar como apoio a comovimento ações x títulos na América Latina</t>
        </is>
      </c>
      <c r="E8" s="9" t="n"/>
      <c r="F8" s="9" t="inlineStr">
        <is>
          <t>Aberta</t>
        </is>
      </c>
    </row>
    <row r="9" ht="32" customHeight="1">
      <c r="A9" s="2" t="n">
        <v>8</v>
      </c>
      <c r="B9" s="4" t="inlineStr">
        <is>
          <t>Sinal do EMBI em Bianconi et al. (2013) ambíguo</t>
        </is>
      </c>
      <c r="C9" s="4" t="inlineStr">
        <is>
          <t>bianconi-2013.md</t>
        </is>
      </c>
      <c r="D9" s="4" t="inlineStr">
        <is>
          <t>Não citar o sinal ou citar o número com a ressalva</t>
        </is>
      </c>
      <c r="E9" s="9" t="n"/>
      <c r="F9" s="9" t="inlineStr">
        <is>
          <t>Aberta</t>
        </is>
      </c>
    </row>
    <row r="10" ht="32" customHeight="1">
      <c r="A10" s="2" t="n">
        <v>9</v>
      </c>
      <c r="B10" s="4" t="inlineStr">
        <is>
          <t>Eixo 4 fraco: só uma obra brasileira próxima (Cardoso e Garcia, em anais)</t>
        </is>
      </c>
      <c r="C10" s="4" t="inlineStr">
        <is>
          <t>cardoso-2023.md</t>
        </is>
      </c>
      <c r="D10" s="4" t="inlineStr">
        <is>
          <t>Busca dirigida em SciELO, RBFin, RBE, EconomiA e anais SBE/ANPEC/SBFin; registrar em log-buscas.md</t>
        </is>
      </c>
      <c r="E10" s="9" t="n"/>
      <c r="F10" s="9" t="inlineStr">
        <is>
          <t>Aberta</t>
        </is>
      </c>
    </row>
    <row r="11" ht="32" customHeight="1">
      <c r="A11" s="2" t="n">
        <v>10</v>
      </c>
      <c r="B11" s="4" t="inlineStr">
        <is>
          <t>Páginas de Yin (2015) na edição Bookman não confirmadas</t>
        </is>
      </c>
      <c r="C11" s="4" t="inlineStr">
        <is>
          <t>yin-2015.md</t>
        </is>
      </c>
      <c r="D11" s="4" t="inlineStr">
        <is>
          <t>Conferir num exemplar físico ou digital</t>
        </is>
      </c>
      <c r="E11" s="9" t="n"/>
      <c r="F11" s="9" t="inlineStr">
        <is>
          <t>Aberta</t>
        </is>
      </c>
    </row>
    <row r="12" ht="32" customHeight="1">
      <c r="A12" s="2" t="n">
        <v>11</v>
      </c>
      <c r="B12" s="4" t="inlineStr">
        <is>
          <t>Paginação de Connolly (JFQA), Dufour (JIFMIM) e Hofmann (JMCB) vem de versões preprint/WP</t>
        </is>
      </c>
      <c r="C12" s="4" t="inlineStr">
        <is>
          <t>várias</t>
        </is>
      </c>
      <c r="D12" s="4" t="inlineStr">
        <is>
          <t>Conferir as páginas citadas na versão publicada antes da redação final</t>
        </is>
      </c>
      <c r="E12" s="9" t="n"/>
      <c r="F12" s="9" t="inlineStr">
        <is>
          <t>Aberta</t>
        </is>
      </c>
    </row>
    <row r="13" ht="32" customHeight="1">
      <c r="A13" s="2" t="n">
        <v>12</v>
      </c>
      <c r="B13" s="4" t="inlineStr">
        <is>
          <t>Campo 'Revisado por' sem assinatura humana em todas as fichas</t>
        </is>
      </c>
      <c r="C13" s="4" t="inlineStr">
        <is>
          <t>todas</t>
        </is>
      </c>
      <c r="D13" s="4" t="inlineStr">
        <is>
          <t>Cada integrante assina conforme a divisão do plano</t>
        </is>
      </c>
      <c r="E13" s="9" t="n"/>
      <c r="F13" s="9" t="inlineStr">
        <is>
          <t>Aberta</t>
        </is>
      </c>
    </row>
  </sheetData>
  <autoFilter ref="A1:F1"/>
  <dataValidations count="1">
    <dataValidation sqref="F2:F13" showDropDown="0" showInputMessage="0" showErrorMessage="0" allowBlank="1" type="list">
      <formula1>"Aberta,Em andamento,Resolvida"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45" customHeight="1">
      <c r="A1" s="6" t="inlineStr">
        <is>
          <t>Fichamento resumido</t>
        </is>
      </c>
      <c r="B1" s="10" t="inlineStr">
        <is>
          <t>Artigo 'Treasury como porto seguro: Brasil x EUA'. Síntese das 15 fichas em fichamento/*.md: 13 da Etapa 1 e 2 da busca dirigida da Etapa 2 (Ohmi e Okimoto, 2016; Mosk et al., 2022), conferidas em 21 out. 2026. A ficha .md continua sendo a fonte: em caso de dúvida, consultar o arquivo.</t>
        </is>
      </c>
    </row>
    <row r="2" ht="45" customHeight="1">
      <c r="A2" s="6" t="inlineStr">
        <is>
          <t>Proposições</t>
        </is>
      </c>
      <c r="B2" s="10" t="inlineStr">
        <is>
          <t>P1: nos EUA, correlação ações x Treasury negativa em crises de aversão a risco. P2: correlação diminui com o VIX nos EUA, não no Brasil. P3: NTN-B como ativo de risco em crises, mesmo controlando pelo câmbio. P4: efeito mais intenso em crises locais que globais. 2022: exploratória.</t>
        </is>
      </c>
    </row>
    <row r="3" ht="45" customHeight="1">
      <c r="A3" s="11" t="inlineStr">
        <is>
          <t>X</t>
        </is>
      </c>
      <c r="B3" s="10" t="inlineStr">
        <is>
          <t>Sustenta diretamente a proposição.</t>
        </is>
      </c>
    </row>
    <row r="4" ht="45" customHeight="1">
      <c r="A4" s="12" t="inlineStr">
        <is>
          <t>(X)</t>
        </is>
      </c>
      <c r="B4" s="10" t="inlineStr">
        <is>
          <t>Sustenta em parte, por analogia ou de forma indireta.</t>
        </is>
      </c>
    </row>
    <row r="5" ht="45" customHeight="1">
      <c r="A5" s="13" t="inlineStr">
        <is>
          <t>C</t>
        </is>
      </c>
      <c r="B5" s="10" t="inlineStr">
        <is>
          <t>Contexto (sem sustentar uma proposição).</t>
        </is>
      </c>
    </row>
    <row r="6" ht="45" customHeight="1">
      <c r="A6" s="14" t="inlineStr">
        <is>
          <t>Células amarelas</t>
        </is>
      </c>
      <c r="B6" s="10" t="inlineStr">
        <is>
          <t>Para preencher pelo grupo: assinatura 'Revisado por', responsável e status das pendências.</t>
        </is>
      </c>
    </row>
    <row r="7" ht="45" customHeight="1">
      <c r="A7" s="6" t="inlineStr">
        <is>
          <t>Matriz</t>
        </is>
      </c>
      <c r="B7" s="10" t="inlineStr">
        <is>
          <t>Colunas A-C puxam dados da aba Fichamento; as linhas de contagem e a situação são fórmulas e se atualizam ao editar as marcações (lista suspensa X / (X) / C).</t>
        </is>
      </c>
    </row>
    <row r="8" ht="45" customHeight="1">
      <c r="A8" s="6" t="inlineStr">
        <is>
          <t>Próximo passo</t>
        </is>
      </c>
      <c r="B8" s="10" t="inlineStr">
        <is>
          <t>Etapa 2 do plano de trabalho: usar a aba Matriz para gerar fichamento/matriz.md, priorizar as buscas da aba Pendências e registrá-las em fichamento/log-buscas.md.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2026-10-21T23:08:13Z</dcterms:created>
  <dcterms:modified xsi:type="dcterms:W3CDTF">2026-10-21T23:08:13Z</dcterms:modified>
</cp:coreProperties>
</file>